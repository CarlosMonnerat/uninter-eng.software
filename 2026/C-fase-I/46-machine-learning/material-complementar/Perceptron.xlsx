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anc\backup200720\1aaINTER\desktop UNINTER 23de03\Gian IA\Aulas Presenciais\Semi\"/>
    </mc:Choice>
  </mc:AlternateContent>
  <bookViews>
    <workbookView xWindow="0" yWindow="0" windowWidth="17025" windowHeight="7830"/>
  </bookViews>
  <sheets>
    <sheet name="Perceptron" sheetId="4" r:id="rId1"/>
    <sheet name="Plan1" sheetId="5" r:id="rId2"/>
  </sheets>
  <calcPr calcId="162913"/>
</workbook>
</file>

<file path=xl/calcChain.xml><?xml version="1.0" encoding="utf-8"?>
<calcChain xmlns="http://schemas.openxmlformats.org/spreadsheetml/2006/main">
  <c r="F13" i="4" l="1"/>
  <c r="F1498" i="4" s="1"/>
  <c r="F12" i="4"/>
  <c r="F1497" i="4" s="1"/>
  <c r="F11" i="4"/>
  <c r="F1496" i="4" s="1"/>
  <c r="F1481" i="4"/>
  <c r="F1468" i="4"/>
  <c r="F1466" i="4"/>
  <c r="F1451" i="4"/>
  <c r="F1438" i="4"/>
  <c r="F1436" i="4"/>
  <c r="F1423" i="4"/>
  <c r="F1421" i="4"/>
  <c r="F1406" i="4"/>
  <c r="F1393" i="4"/>
  <c r="F1391" i="4"/>
  <c r="F1376" i="4"/>
  <c r="F1363" i="4"/>
  <c r="F1361" i="4"/>
  <c r="F1346" i="4"/>
  <c r="F1333" i="4"/>
  <c r="F1331" i="4"/>
  <c r="F1316" i="4"/>
  <c r="F1301" i="4"/>
  <c r="F1288" i="4"/>
  <c r="F1286" i="4"/>
  <c r="F1271" i="4"/>
  <c r="F1258" i="4"/>
  <c r="F1257" i="4"/>
  <c r="F1256" i="4"/>
  <c r="F1241" i="4"/>
  <c r="F1228" i="4"/>
  <c r="F1226" i="4"/>
  <c r="F1211" i="4"/>
  <c r="F1198" i="4"/>
  <c r="F1196" i="4"/>
  <c r="F1183" i="4"/>
  <c r="F1181" i="4"/>
  <c r="F1166" i="4"/>
  <c r="F1153" i="4"/>
  <c r="F1151" i="4"/>
  <c r="F1136" i="4"/>
  <c r="F1123" i="4"/>
  <c r="F1121" i="4"/>
  <c r="F1106" i="4"/>
  <c r="F1093" i="4"/>
  <c r="F1091" i="4"/>
  <c r="F1076" i="4"/>
  <c r="F1061" i="4"/>
  <c r="F1048" i="4"/>
  <c r="F1046" i="4"/>
  <c r="F1031" i="4"/>
  <c r="F1018" i="4"/>
  <c r="F1017" i="4"/>
  <c r="F1016" i="4"/>
  <c r="F1001" i="4"/>
  <c r="F988" i="4"/>
  <c r="F986" i="4"/>
  <c r="F971" i="4"/>
  <c r="F958" i="4"/>
  <c r="F956" i="4"/>
  <c r="F943" i="4"/>
  <c r="F941" i="4"/>
  <c r="F926" i="4"/>
  <c r="F913" i="4"/>
  <c r="F911" i="4"/>
  <c r="F896" i="4"/>
  <c r="F883" i="4"/>
  <c r="F881" i="4"/>
  <c r="F866" i="4"/>
  <c r="F853" i="4"/>
  <c r="F851" i="4"/>
  <c r="F836" i="4"/>
  <c r="F821" i="4"/>
  <c r="F808" i="4"/>
  <c r="F806" i="4"/>
  <c r="F791" i="4"/>
  <c r="F778" i="4"/>
  <c r="F777" i="4"/>
  <c r="F776" i="4"/>
  <c r="F761" i="4"/>
  <c r="F748" i="4"/>
  <c r="F746" i="4"/>
  <c r="F731" i="4"/>
  <c r="F718" i="4"/>
  <c r="F716" i="4"/>
  <c r="F703" i="4"/>
  <c r="F701" i="4"/>
  <c r="F686" i="4"/>
  <c r="F673" i="4"/>
  <c r="F671" i="4"/>
  <c r="F656" i="4"/>
  <c r="F643" i="4"/>
  <c r="F641" i="4"/>
  <c r="F626" i="4"/>
  <c r="F613" i="4"/>
  <c r="F611" i="4"/>
  <c r="F596" i="4"/>
  <c r="F581" i="4"/>
  <c r="F568" i="4"/>
  <c r="F566" i="4"/>
  <c r="F551" i="4"/>
  <c r="F538" i="4"/>
  <c r="F537" i="4"/>
  <c r="F536" i="4"/>
  <c r="F521" i="4"/>
  <c r="F508" i="4"/>
  <c r="F506" i="4"/>
  <c r="F491" i="4"/>
  <c r="F478" i="4"/>
  <c r="F476" i="4"/>
  <c r="F463" i="4"/>
  <c r="F461" i="4"/>
  <c r="F446" i="4"/>
  <c r="F433" i="4"/>
  <c r="F431" i="4"/>
  <c r="F416" i="4"/>
  <c r="F403" i="4"/>
  <c r="F401" i="4"/>
  <c r="F386" i="4"/>
  <c r="F373" i="4"/>
  <c r="F371" i="4"/>
  <c r="F356" i="4"/>
  <c r="F341" i="4"/>
  <c r="F328" i="4"/>
  <c r="F326" i="4"/>
  <c r="F311" i="4"/>
  <c r="F298" i="4"/>
  <c r="F297" i="4"/>
  <c r="F296" i="4"/>
  <c r="F281" i="4"/>
  <c r="F268" i="4"/>
  <c r="F266" i="4"/>
  <c r="F251" i="4"/>
  <c r="F238" i="4"/>
  <c r="F236" i="4"/>
  <c r="F223" i="4"/>
  <c r="F221" i="4"/>
  <c r="F206" i="4"/>
  <c r="F193" i="4"/>
  <c r="F191" i="4"/>
  <c r="F176" i="4"/>
  <c r="F163" i="4"/>
  <c r="F161" i="4"/>
  <c r="F146" i="4"/>
  <c r="F133" i="4"/>
  <c r="F131" i="4"/>
  <c r="F116" i="4"/>
  <c r="F101" i="4"/>
  <c r="F88" i="4"/>
  <c r="F86" i="4"/>
  <c r="F71" i="4"/>
  <c r="F58" i="4"/>
  <c r="F57" i="4"/>
  <c r="F56" i="4"/>
  <c r="F41" i="4"/>
  <c r="F28" i="4"/>
  <c r="F26" i="4"/>
  <c r="F117" i="4" l="1"/>
  <c r="F357" i="4"/>
  <c r="F1077" i="4"/>
  <c r="F1317" i="4"/>
  <c r="H13" i="4"/>
  <c r="F43" i="4"/>
  <c r="F118" i="4"/>
  <c r="F148" i="4"/>
  <c r="H148" i="4" s="1"/>
  <c r="F177" i="4"/>
  <c r="F253" i="4"/>
  <c r="F283" i="4"/>
  <c r="H283" i="4" s="1"/>
  <c r="F358" i="4"/>
  <c r="H358" i="4" s="1"/>
  <c r="F388" i="4"/>
  <c r="F417" i="4"/>
  <c r="F493" i="4"/>
  <c r="F523" i="4"/>
  <c r="H523" i="4" s="1"/>
  <c r="F598" i="4"/>
  <c r="F628" i="4"/>
  <c r="F657" i="4"/>
  <c r="F733" i="4"/>
  <c r="F763" i="4"/>
  <c r="F838" i="4"/>
  <c r="F868" i="4"/>
  <c r="H868" i="4" s="1"/>
  <c r="F897" i="4"/>
  <c r="F973" i="4"/>
  <c r="F1003" i="4"/>
  <c r="F1078" i="4"/>
  <c r="F1108" i="4"/>
  <c r="H1108" i="4" s="1"/>
  <c r="F1137" i="4"/>
  <c r="F1213" i="4"/>
  <c r="F1243" i="4"/>
  <c r="H1243" i="4" s="1"/>
  <c r="F1318" i="4"/>
  <c r="H1318" i="4" s="1"/>
  <c r="F1348" i="4"/>
  <c r="F1377" i="4"/>
  <c r="F1453" i="4"/>
  <c r="F597" i="4"/>
  <c r="F837" i="4"/>
  <c r="F73" i="4"/>
  <c r="F103" i="4"/>
  <c r="H103" i="4" s="1"/>
  <c r="F178" i="4"/>
  <c r="H178" i="4" s="1"/>
  <c r="F208" i="4"/>
  <c r="F237" i="4"/>
  <c r="F313" i="4"/>
  <c r="F343" i="4"/>
  <c r="H343" i="4" s="1"/>
  <c r="F418" i="4"/>
  <c r="F448" i="4"/>
  <c r="F477" i="4"/>
  <c r="F553" i="4"/>
  <c r="F583" i="4"/>
  <c r="F658" i="4"/>
  <c r="F688" i="4"/>
  <c r="H688" i="4" s="1"/>
  <c r="F717" i="4"/>
  <c r="F793" i="4"/>
  <c r="F823" i="4"/>
  <c r="F898" i="4"/>
  <c r="F928" i="4"/>
  <c r="H928" i="4" s="1"/>
  <c r="F957" i="4"/>
  <c r="F1033" i="4"/>
  <c r="F1063" i="4"/>
  <c r="H1063" i="4" s="1"/>
  <c r="F1138" i="4"/>
  <c r="H1138" i="4" s="1"/>
  <c r="F1168" i="4"/>
  <c r="F1197" i="4"/>
  <c r="F1273" i="4"/>
  <c r="F1303" i="4"/>
  <c r="H1303" i="4" s="1"/>
  <c r="F1378" i="4"/>
  <c r="F1408" i="4"/>
  <c r="F1437" i="4"/>
  <c r="H12" i="4"/>
  <c r="F27" i="4"/>
  <c r="F87" i="4"/>
  <c r="F147" i="4"/>
  <c r="H147" i="4" s="1"/>
  <c r="F207" i="4"/>
  <c r="H207" i="4" s="1"/>
  <c r="F267" i="4"/>
  <c r="F327" i="4"/>
  <c r="F387" i="4"/>
  <c r="H387" i="4" s="1"/>
  <c r="F447" i="4"/>
  <c r="H447" i="4" s="1"/>
  <c r="F507" i="4"/>
  <c r="F567" i="4"/>
  <c r="F627" i="4"/>
  <c r="H627" i="4" s="1"/>
  <c r="F687" i="4"/>
  <c r="H687" i="4" s="1"/>
  <c r="F747" i="4"/>
  <c r="F807" i="4"/>
  <c r="F867" i="4"/>
  <c r="H867" i="4" s="1"/>
  <c r="F927" i="4"/>
  <c r="H927" i="4" s="1"/>
  <c r="F987" i="4"/>
  <c r="F1047" i="4"/>
  <c r="F1107" i="4"/>
  <c r="H1107" i="4" s="1"/>
  <c r="F1167" i="4"/>
  <c r="H1167" i="4" s="1"/>
  <c r="F1227" i="4"/>
  <c r="F1287" i="4"/>
  <c r="F1347" i="4"/>
  <c r="H1347" i="4" s="1"/>
  <c r="F1407" i="4"/>
  <c r="H1407" i="4" s="1"/>
  <c r="F1467" i="4"/>
  <c r="H1467" i="4" s="1"/>
  <c r="F1483" i="4"/>
  <c r="F42" i="4"/>
  <c r="F72" i="4"/>
  <c r="H72" i="4" s="1"/>
  <c r="F102" i="4"/>
  <c r="F132" i="4"/>
  <c r="F162" i="4"/>
  <c r="F192" i="4"/>
  <c r="H192" i="4" s="1"/>
  <c r="F222" i="4"/>
  <c r="F252" i="4"/>
  <c r="F282" i="4"/>
  <c r="F312" i="4"/>
  <c r="H312" i="4" s="1"/>
  <c r="F342" i="4"/>
  <c r="F372" i="4"/>
  <c r="F402" i="4"/>
  <c r="F432" i="4"/>
  <c r="H432" i="4" s="1"/>
  <c r="F462" i="4"/>
  <c r="F492" i="4"/>
  <c r="F522" i="4"/>
  <c r="F552" i="4"/>
  <c r="H552" i="4" s="1"/>
  <c r="F582" i="4"/>
  <c r="F612" i="4"/>
  <c r="F642" i="4"/>
  <c r="F672" i="4"/>
  <c r="H672" i="4" s="1"/>
  <c r="F702" i="4"/>
  <c r="F732" i="4"/>
  <c r="F762" i="4"/>
  <c r="F792" i="4"/>
  <c r="H792" i="4" s="1"/>
  <c r="F822" i="4"/>
  <c r="F852" i="4"/>
  <c r="F882" i="4"/>
  <c r="F912" i="4"/>
  <c r="H912" i="4" s="1"/>
  <c r="F942" i="4"/>
  <c r="F972" i="4"/>
  <c r="F1002" i="4"/>
  <c r="F1032" i="4"/>
  <c r="H1032" i="4" s="1"/>
  <c r="F1062" i="4"/>
  <c r="F1092" i="4"/>
  <c r="F1122" i="4"/>
  <c r="F1152" i="4"/>
  <c r="H1152" i="4" s="1"/>
  <c r="F1182" i="4"/>
  <c r="F1212" i="4"/>
  <c r="F1242" i="4"/>
  <c r="F1272" i="4"/>
  <c r="H1272" i="4" s="1"/>
  <c r="F1302" i="4"/>
  <c r="F1332" i="4"/>
  <c r="F1362" i="4"/>
  <c r="F1392" i="4"/>
  <c r="H1392" i="4" s="1"/>
  <c r="F1422" i="4"/>
  <c r="F1452" i="4"/>
  <c r="F1482" i="4"/>
  <c r="H1482" i="4" s="1"/>
  <c r="H1498" i="4"/>
  <c r="H1497" i="4"/>
  <c r="H1496" i="4"/>
  <c r="H1483" i="4"/>
  <c r="H1481" i="4"/>
  <c r="H1468" i="4"/>
  <c r="H1466" i="4"/>
  <c r="H1453" i="4"/>
  <c r="H1452" i="4"/>
  <c r="H1451" i="4"/>
  <c r="H1438" i="4"/>
  <c r="H1437" i="4"/>
  <c r="H1436" i="4"/>
  <c r="H1423" i="4"/>
  <c r="H1422" i="4"/>
  <c r="H1421" i="4"/>
  <c r="H1408" i="4"/>
  <c r="H1406" i="4"/>
  <c r="H1393" i="4"/>
  <c r="H1391" i="4"/>
  <c r="H1378" i="4"/>
  <c r="H1377" i="4"/>
  <c r="H1376" i="4"/>
  <c r="H1363" i="4"/>
  <c r="H1362" i="4"/>
  <c r="H1361" i="4"/>
  <c r="H1348" i="4"/>
  <c r="H1346" i="4"/>
  <c r="H1333" i="4"/>
  <c r="H1332" i="4"/>
  <c r="H1331" i="4"/>
  <c r="H1317" i="4"/>
  <c r="H1316" i="4"/>
  <c r="H1302" i="4"/>
  <c r="H1301" i="4"/>
  <c r="H1288" i="4"/>
  <c r="H1287" i="4"/>
  <c r="H1286" i="4"/>
  <c r="H1273" i="4"/>
  <c r="H1271" i="4"/>
  <c r="H1258" i="4"/>
  <c r="H1257" i="4"/>
  <c r="H1256" i="4"/>
  <c r="H1242" i="4"/>
  <c r="H1241" i="4"/>
  <c r="H1228" i="4"/>
  <c r="H1227" i="4"/>
  <c r="H1226" i="4"/>
  <c r="H1213" i="4"/>
  <c r="H1212" i="4"/>
  <c r="H1211" i="4"/>
  <c r="H1198" i="4"/>
  <c r="H1197" i="4"/>
  <c r="H1196" i="4"/>
  <c r="H1183" i="4"/>
  <c r="H1182" i="4"/>
  <c r="H1181" i="4"/>
  <c r="H1168" i="4"/>
  <c r="H1166" i="4"/>
  <c r="H1153" i="4"/>
  <c r="H1151" i="4"/>
  <c r="H1137" i="4"/>
  <c r="H1136" i="4"/>
  <c r="H1123" i="4"/>
  <c r="H1122" i="4"/>
  <c r="H1121" i="4"/>
  <c r="H1106" i="4"/>
  <c r="H1093" i="4"/>
  <c r="H1092" i="4"/>
  <c r="H1091" i="4"/>
  <c r="H1078" i="4"/>
  <c r="H1077" i="4"/>
  <c r="H1076" i="4"/>
  <c r="H1062" i="4"/>
  <c r="H1061" i="4"/>
  <c r="H1048" i="4"/>
  <c r="H1047" i="4"/>
  <c r="H1046" i="4"/>
  <c r="H1033" i="4"/>
  <c r="H1031" i="4"/>
  <c r="H1018" i="4"/>
  <c r="H1017" i="4"/>
  <c r="H1016" i="4"/>
  <c r="H1003" i="4"/>
  <c r="H1002" i="4"/>
  <c r="H1001" i="4"/>
  <c r="H988" i="4"/>
  <c r="H987" i="4"/>
  <c r="H986" i="4"/>
  <c r="H973" i="4"/>
  <c r="H972" i="4"/>
  <c r="H971" i="4"/>
  <c r="H958" i="4"/>
  <c r="H957" i="4"/>
  <c r="H956" i="4"/>
  <c r="H943" i="4"/>
  <c r="H942" i="4"/>
  <c r="H941" i="4"/>
  <c r="H926" i="4"/>
  <c r="H913" i="4"/>
  <c r="H911" i="4"/>
  <c r="H898" i="4"/>
  <c r="H897" i="4"/>
  <c r="H896" i="4"/>
  <c r="H883" i="4"/>
  <c r="H882" i="4"/>
  <c r="H881" i="4"/>
  <c r="H866" i="4"/>
  <c r="H853" i="4"/>
  <c r="H852" i="4"/>
  <c r="H851" i="4"/>
  <c r="H838" i="4"/>
  <c r="H837" i="4"/>
  <c r="H836" i="4"/>
  <c r="H823" i="4"/>
  <c r="H822" i="4"/>
  <c r="H821" i="4"/>
  <c r="H808" i="4"/>
  <c r="H807" i="4"/>
  <c r="H806" i="4"/>
  <c r="H793" i="4"/>
  <c r="H791" i="4"/>
  <c r="H778" i="4"/>
  <c r="H777" i="4"/>
  <c r="H776" i="4"/>
  <c r="H763" i="4"/>
  <c r="H762" i="4"/>
  <c r="H761" i="4"/>
  <c r="H748" i="4"/>
  <c r="H747" i="4"/>
  <c r="H746" i="4"/>
  <c r="H733" i="4"/>
  <c r="H732" i="4"/>
  <c r="H731" i="4"/>
  <c r="H718" i="4"/>
  <c r="H717" i="4"/>
  <c r="H716" i="4"/>
  <c r="H703" i="4"/>
  <c r="H702" i="4"/>
  <c r="H701" i="4"/>
  <c r="H686" i="4"/>
  <c r="H673" i="4"/>
  <c r="H671" i="4"/>
  <c r="H658" i="4"/>
  <c r="H657" i="4"/>
  <c r="H656" i="4"/>
  <c r="H643" i="4"/>
  <c r="H642" i="4"/>
  <c r="H641" i="4"/>
  <c r="H628" i="4"/>
  <c r="H626" i="4"/>
  <c r="H613" i="4"/>
  <c r="H612" i="4"/>
  <c r="H611" i="4"/>
  <c r="H598" i="4"/>
  <c r="H597" i="4"/>
  <c r="H596" i="4"/>
  <c r="H583" i="4"/>
  <c r="H582" i="4"/>
  <c r="H581" i="4"/>
  <c r="H568" i="4"/>
  <c r="H567" i="4"/>
  <c r="H566" i="4"/>
  <c r="H553" i="4"/>
  <c r="H551" i="4"/>
  <c r="H538" i="4"/>
  <c r="H537" i="4"/>
  <c r="H536" i="4"/>
  <c r="H522" i="4"/>
  <c r="H521" i="4"/>
  <c r="H508" i="4"/>
  <c r="H507" i="4"/>
  <c r="H506" i="4"/>
  <c r="H493" i="4"/>
  <c r="H492" i="4"/>
  <c r="H491" i="4"/>
  <c r="H478" i="4"/>
  <c r="H477" i="4"/>
  <c r="H476" i="4"/>
  <c r="H463" i="4"/>
  <c r="H462" i="4"/>
  <c r="H461" i="4"/>
  <c r="H448" i="4"/>
  <c r="H446" i="4"/>
  <c r="H433" i="4"/>
  <c r="H431" i="4"/>
  <c r="H418" i="4"/>
  <c r="H417" i="4"/>
  <c r="H416" i="4"/>
  <c r="H403" i="4"/>
  <c r="H402" i="4"/>
  <c r="H401" i="4"/>
  <c r="H388" i="4"/>
  <c r="H386" i="4"/>
  <c r="H373" i="4"/>
  <c r="H372" i="4"/>
  <c r="H371" i="4"/>
  <c r="H357" i="4"/>
  <c r="H356" i="4"/>
  <c r="H342" i="4"/>
  <c r="H341" i="4"/>
  <c r="H328" i="4"/>
  <c r="H327" i="4"/>
  <c r="H326" i="4"/>
  <c r="H313" i="4"/>
  <c r="H311" i="4"/>
  <c r="H298" i="4"/>
  <c r="H297" i="4"/>
  <c r="H296" i="4"/>
  <c r="H282" i="4"/>
  <c r="H281" i="4"/>
  <c r="H268" i="4"/>
  <c r="H267" i="4"/>
  <c r="H266" i="4"/>
  <c r="H253" i="4"/>
  <c r="H252" i="4"/>
  <c r="H251" i="4"/>
  <c r="H238" i="4"/>
  <c r="H237" i="4"/>
  <c r="H236" i="4"/>
  <c r="H223" i="4"/>
  <c r="H222" i="4"/>
  <c r="H221" i="4"/>
  <c r="H208" i="4"/>
  <c r="H206" i="4"/>
  <c r="H193" i="4"/>
  <c r="H191" i="4"/>
  <c r="H177" i="4"/>
  <c r="H176" i="4"/>
  <c r="H163" i="4"/>
  <c r="H162" i="4"/>
  <c r="H161" i="4"/>
  <c r="H146" i="4"/>
  <c r="H133" i="4"/>
  <c r="H132" i="4"/>
  <c r="H131" i="4"/>
  <c r="H118" i="4"/>
  <c r="H117" i="4"/>
  <c r="H116" i="4"/>
  <c r="H102" i="4"/>
  <c r="H101" i="4"/>
  <c r="H88" i="4"/>
  <c r="H87" i="4"/>
  <c r="H86" i="4"/>
  <c r="H73" i="4"/>
  <c r="H71" i="4"/>
  <c r="H58" i="4"/>
  <c r="H57" i="4"/>
  <c r="H56" i="4"/>
  <c r="H43" i="4"/>
  <c r="H42" i="4"/>
  <c r="H41" i="4"/>
  <c r="H28" i="4"/>
  <c r="H27" i="4"/>
  <c r="H26" i="4"/>
  <c r="H11" i="4"/>
  <c r="F10" i="4"/>
  <c r="F9" i="4"/>
  <c r="F8" i="4"/>
  <c r="H13" i="5"/>
  <c r="D13" i="5"/>
  <c r="E13" i="5" s="1"/>
  <c r="H12" i="5"/>
  <c r="D12" i="5"/>
  <c r="E12" i="5" s="1"/>
  <c r="H11" i="5"/>
  <c r="D11" i="5"/>
  <c r="E11" i="5" s="1"/>
  <c r="I11" i="5" s="1"/>
  <c r="H10" i="5"/>
  <c r="D10" i="5"/>
  <c r="E10" i="5" s="1"/>
  <c r="H9" i="5"/>
  <c r="D9" i="5"/>
  <c r="E9" i="5" s="1"/>
  <c r="I9" i="5" s="1"/>
  <c r="H8" i="5"/>
  <c r="D8" i="5"/>
  <c r="E8" i="5" s="1"/>
  <c r="H8" i="4" l="1"/>
  <c r="F1043" i="4"/>
  <c r="H1043" i="4" s="1"/>
  <c r="F938" i="4"/>
  <c r="H938" i="4" s="1"/>
  <c r="F908" i="4"/>
  <c r="H908" i="4" s="1"/>
  <c r="F878" i="4"/>
  <c r="H878" i="4" s="1"/>
  <c r="F848" i="4"/>
  <c r="H848" i="4" s="1"/>
  <c r="F818" i="4"/>
  <c r="H818" i="4" s="1"/>
  <c r="F788" i="4"/>
  <c r="H788" i="4" s="1"/>
  <c r="F758" i="4"/>
  <c r="H758" i="4" s="1"/>
  <c r="F728" i="4"/>
  <c r="H728" i="4" s="1"/>
  <c r="F698" i="4"/>
  <c r="H698" i="4" s="1"/>
  <c r="F683" i="4"/>
  <c r="H683" i="4" s="1"/>
  <c r="F653" i="4"/>
  <c r="H653" i="4" s="1"/>
  <c r="F623" i="4"/>
  <c r="H623" i="4" s="1"/>
  <c r="F593" i="4"/>
  <c r="H593" i="4" s="1"/>
  <c r="F578" i="4"/>
  <c r="H578" i="4" s="1"/>
  <c r="F548" i="4"/>
  <c r="H548" i="4" s="1"/>
  <c r="F518" i="4"/>
  <c r="H518" i="4" s="1"/>
  <c r="F488" i="4"/>
  <c r="H488" i="4" s="1"/>
  <c r="F473" i="4"/>
  <c r="H473" i="4" s="1"/>
  <c r="F443" i="4"/>
  <c r="H443" i="4" s="1"/>
  <c r="F413" i="4"/>
  <c r="H413" i="4" s="1"/>
  <c r="F383" i="4"/>
  <c r="H383" i="4" s="1"/>
  <c r="F353" i="4"/>
  <c r="H353" i="4" s="1"/>
  <c r="F323" i="4"/>
  <c r="H323" i="4" s="1"/>
  <c r="F308" i="4"/>
  <c r="H308" i="4" s="1"/>
  <c r="F278" i="4"/>
  <c r="H278" i="4" s="1"/>
  <c r="F263" i="4"/>
  <c r="H263" i="4" s="1"/>
  <c r="F233" i="4"/>
  <c r="H233" i="4" s="1"/>
  <c r="F218" i="4"/>
  <c r="H218" i="4" s="1"/>
  <c r="F188" i="4"/>
  <c r="H188" i="4" s="1"/>
  <c r="F158" i="4"/>
  <c r="H158" i="4" s="1"/>
  <c r="F128" i="4"/>
  <c r="H128" i="4" s="1"/>
  <c r="F98" i="4"/>
  <c r="H98" i="4" s="1"/>
  <c r="F68" i="4"/>
  <c r="H68" i="4" s="1"/>
  <c r="F38" i="4"/>
  <c r="H38" i="4" s="1"/>
  <c r="F23" i="4"/>
  <c r="H23" i="4" s="1"/>
  <c r="F1493" i="4"/>
  <c r="H1493" i="4" s="1"/>
  <c r="F1478" i="4"/>
  <c r="H1478" i="4" s="1"/>
  <c r="F1463" i="4"/>
  <c r="H1463" i="4" s="1"/>
  <c r="F1448" i="4"/>
  <c r="H1448" i="4" s="1"/>
  <c r="F1433" i="4"/>
  <c r="H1433" i="4" s="1"/>
  <c r="F1418" i="4"/>
  <c r="H1418" i="4" s="1"/>
  <c r="F1403" i="4"/>
  <c r="H1403" i="4" s="1"/>
  <c r="F1388" i="4"/>
  <c r="H1388" i="4" s="1"/>
  <c r="F1373" i="4"/>
  <c r="H1373" i="4" s="1"/>
  <c r="F1358" i="4"/>
  <c r="H1358" i="4" s="1"/>
  <c r="F1343" i="4"/>
  <c r="H1343" i="4" s="1"/>
  <c r="F1328" i="4"/>
  <c r="H1328" i="4" s="1"/>
  <c r="F1313" i="4"/>
  <c r="H1313" i="4" s="1"/>
  <c r="F1298" i="4"/>
  <c r="H1298" i="4" s="1"/>
  <c r="F1283" i="4"/>
  <c r="H1283" i="4" s="1"/>
  <c r="F1268" i="4"/>
  <c r="H1268" i="4" s="1"/>
  <c r="F1253" i="4"/>
  <c r="H1253" i="4" s="1"/>
  <c r="F1238" i="4"/>
  <c r="H1238" i="4" s="1"/>
  <c r="F1223" i="4"/>
  <c r="H1223" i="4" s="1"/>
  <c r="F1208" i="4"/>
  <c r="H1208" i="4" s="1"/>
  <c r="F1193" i="4"/>
  <c r="H1193" i="4" s="1"/>
  <c r="F1178" i="4"/>
  <c r="H1178" i="4" s="1"/>
  <c r="F1163" i="4"/>
  <c r="H1163" i="4" s="1"/>
  <c r="F1148" i="4"/>
  <c r="H1148" i="4" s="1"/>
  <c r="F1133" i="4"/>
  <c r="H1133" i="4" s="1"/>
  <c r="F1118" i="4"/>
  <c r="H1118" i="4" s="1"/>
  <c r="F1103" i="4"/>
  <c r="H1103" i="4" s="1"/>
  <c r="F1088" i="4"/>
  <c r="H1088" i="4" s="1"/>
  <c r="F1073" i="4"/>
  <c r="H1073" i="4" s="1"/>
  <c r="F1058" i="4"/>
  <c r="H1058" i="4" s="1"/>
  <c r="F1028" i="4"/>
  <c r="H1028" i="4" s="1"/>
  <c r="F1013" i="4"/>
  <c r="H1013" i="4" s="1"/>
  <c r="F998" i="4"/>
  <c r="H998" i="4" s="1"/>
  <c r="F983" i="4"/>
  <c r="H983" i="4" s="1"/>
  <c r="F968" i="4"/>
  <c r="H968" i="4" s="1"/>
  <c r="F953" i="4"/>
  <c r="H953" i="4" s="1"/>
  <c r="F923" i="4"/>
  <c r="H923" i="4" s="1"/>
  <c r="F893" i="4"/>
  <c r="H893" i="4" s="1"/>
  <c r="F863" i="4"/>
  <c r="H863" i="4" s="1"/>
  <c r="F833" i="4"/>
  <c r="H833" i="4" s="1"/>
  <c r="F803" i="4"/>
  <c r="H803" i="4" s="1"/>
  <c r="F773" i="4"/>
  <c r="H773" i="4" s="1"/>
  <c r="F743" i="4"/>
  <c r="H743" i="4" s="1"/>
  <c r="F713" i="4"/>
  <c r="H713" i="4" s="1"/>
  <c r="F668" i="4"/>
  <c r="H668" i="4" s="1"/>
  <c r="F638" i="4"/>
  <c r="H638" i="4" s="1"/>
  <c r="F608" i="4"/>
  <c r="H608" i="4" s="1"/>
  <c r="F563" i="4"/>
  <c r="H563" i="4" s="1"/>
  <c r="F533" i="4"/>
  <c r="H533" i="4" s="1"/>
  <c r="F503" i="4"/>
  <c r="H503" i="4" s="1"/>
  <c r="F458" i="4"/>
  <c r="H458" i="4" s="1"/>
  <c r="F428" i="4"/>
  <c r="H428" i="4" s="1"/>
  <c r="F398" i="4"/>
  <c r="H398" i="4" s="1"/>
  <c r="F368" i="4"/>
  <c r="H368" i="4" s="1"/>
  <c r="F338" i="4"/>
  <c r="H338" i="4" s="1"/>
  <c r="F293" i="4"/>
  <c r="H293" i="4" s="1"/>
  <c r="F248" i="4"/>
  <c r="H248" i="4" s="1"/>
  <c r="F203" i="4"/>
  <c r="H203" i="4" s="1"/>
  <c r="F173" i="4"/>
  <c r="H173" i="4" s="1"/>
  <c r="F143" i="4"/>
  <c r="H143" i="4" s="1"/>
  <c r="F113" i="4"/>
  <c r="H113" i="4" s="1"/>
  <c r="F83" i="4"/>
  <c r="H83" i="4" s="1"/>
  <c r="F53" i="4"/>
  <c r="H53" i="4" s="1"/>
  <c r="H10" i="4"/>
  <c r="F1495" i="4"/>
  <c r="H1495" i="4" s="1"/>
  <c r="F1480" i="4"/>
  <c r="H1480" i="4" s="1"/>
  <c r="F1465" i="4"/>
  <c r="H1465" i="4" s="1"/>
  <c r="F1450" i="4"/>
  <c r="H1450" i="4" s="1"/>
  <c r="F1435" i="4"/>
  <c r="H1435" i="4" s="1"/>
  <c r="F1420" i="4"/>
  <c r="H1420" i="4" s="1"/>
  <c r="F1405" i="4"/>
  <c r="H1405" i="4" s="1"/>
  <c r="F1390" i="4"/>
  <c r="H1390" i="4" s="1"/>
  <c r="F1375" i="4"/>
  <c r="H1375" i="4" s="1"/>
  <c r="F1360" i="4"/>
  <c r="H1360" i="4" s="1"/>
  <c r="F1345" i="4"/>
  <c r="H1345" i="4" s="1"/>
  <c r="F1330" i="4"/>
  <c r="H1330" i="4" s="1"/>
  <c r="F1315" i="4"/>
  <c r="H1315" i="4" s="1"/>
  <c r="F1300" i="4"/>
  <c r="H1300" i="4" s="1"/>
  <c r="F1285" i="4"/>
  <c r="H1285" i="4" s="1"/>
  <c r="F1270" i="4"/>
  <c r="H1270" i="4" s="1"/>
  <c r="F1255" i="4"/>
  <c r="H1255" i="4" s="1"/>
  <c r="F1240" i="4"/>
  <c r="H1240" i="4" s="1"/>
  <c r="F1225" i="4"/>
  <c r="H1225" i="4" s="1"/>
  <c r="F1210" i="4"/>
  <c r="H1210" i="4" s="1"/>
  <c r="F1195" i="4"/>
  <c r="H1195" i="4" s="1"/>
  <c r="F1180" i="4"/>
  <c r="H1180" i="4" s="1"/>
  <c r="F1165" i="4"/>
  <c r="H1165" i="4" s="1"/>
  <c r="F1150" i="4"/>
  <c r="H1150" i="4" s="1"/>
  <c r="F1135" i="4"/>
  <c r="H1135" i="4" s="1"/>
  <c r="F1120" i="4"/>
  <c r="H1120" i="4" s="1"/>
  <c r="F1105" i="4"/>
  <c r="H1105" i="4" s="1"/>
  <c r="F1090" i="4"/>
  <c r="H1090" i="4" s="1"/>
  <c r="F1075" i="4"/>
  <c r="H1075" i="4" s="1"/>
  <c r="F1060" i="4"/>
  <c r="H1060" i="4" s="1"/>
  <c r="F1045" i="4"/>
  <c r="H1045" i="4" s="1"/>
  <c r="F1030" i="4"/>
  <c r="H1030" i="4" s="1"/>
  <c r="F1015" i="4"/>
  <c r="H1015" i="4" s="1"/>
  <c r="F1000" i="4"/>
  <c r="H1000" i="4" s="1"/>
  <c r="F985" i="4"/>
  <c r="H985" i="4" s="1"/>
  <c r="F970" i="4"/>
  <c r="H970" i="4" s="1"/>
  <c r="F955" i="4"/>
  <c r="H955" i="4" s="1"/>
  <c r="F940" i="4"/>
  <c r="H940" i="4" s="1"/>
  <c r="F925" i="4"/>
  <c r="H925" i="4" s="1"/>
  <c r="F910" i="4"/>
  <c r="H910" i="4" s="1"/>
  <c r="F895" i="4"/>
  <c r="H895" i="4" s="1"/>
  <c r="F880" i="4"/>
  <c r="H880" i="4" s="1"/>
  <c r="F865" i="4"/>
  <c r="H865" i="4" s="1"/>
  <c r="F850" i="4"/>
  <c r="H850" i="4" s="1"/>
  <c r="F835" i="4"/>
  <c r="H835" i="4" s="1"/>
  <c r="F820" i="4"/>
  <c r="H820" i="4" s="1"/>
  <c r="F805" i="4"/>
  <c r="H805" i="4" s="1"/>
  <c r="F790" i="4"/>
  <c r="H790" i="4" s="1"/>
  <c r="F775" i="4"/>
  <c r="H775" i="4" s="1"/>
  <c r="F760" i="4"/>
  <c r="H760" i="4" s="1"/>
  <c r="F745" i="4"/>
  <c r="H745" i="4" s="1"/>
  <c r="F730" i="4"/>
  <c r="H730" i="4" s="1"/>
  <c r="F715" i="4"/>
  <c r="H715" i="4" s="1"/>
  <c r="F700" i="4"/>
  <c r="H700" i="4" s="1"/>
  <c r="F685" i="4"/>
  <c r="H685" i="4" s="1"/>
  <c r="F670" i="4"/>
  <c r="H670" i="4" s="1"/>
  <c r="F655" i="4"/>
  <c r="H655" i="4" s="1"/>
  <c r="F640" i="4"/>
  <c r="H640" i="4" s="1"/>
  <c r="F625" i="4"/>
  <c r="H625" i="4" s="1"/>
  <c r="F610" i="4"/>
  <c r="H610" i="4" s="1"/>
  <c r="F595" i="4"/>
  <c r="H595" i="4" s="1"/>
  <c r="F580" i="4"/>
  <c r="H580" i="4" s="1"/>
  <c r="F565" i="4"/>
  <c r="H565" i="4" s="1"/>
  <c r="F550" i="4"/>
  <c r="H550" i="4" s="1"/>
  <c r="F520" i="4"/>
  <c r="H520" i="4" s="1"/>
  <c r="F490" i="4"/>
  <c r="H490" i="4" s="1"/>
  <c r="F460" i="4"/>
  <c r="H460" i="4" s="1"/>
  <c r="F430" i="4"/>
  <c r="H430" i="4" s="1"/>
  <c r="F400" i="4"/>
  <c r="H400" i="4" s="1"/>
  <c r="F370" i="4"/>
  <c r="H370" i="4" s="1"/>
  <c r="F340" i="4"/>
  <c r="H340" i="4" s="1"/>
  <c r="F310" i="4"/>
  <c r="H310" i="4" s="1"/>
  <c r="F280" i="4"/>
  <c r="H280" i="4" s="1"/>
  <c r="F250" i="4"/>
  <c r="H250" i="4" s="1"/>
  <c r="F220" i="4"/>
  <c r="H220" i="4" s="1"/>
  <c r="F205" i="4"/>
  <c r="H205" i="4" s="1"/>
  <c r="F190" i="4"/>
  <c r="H190" i="4" s="1"/>
  <c r="F175" i="4"/>
  <c r="H175" i="4" s="1"/>
  <c r="F160" i="4"/>
  <c r="H160" i="4" s="1"/>
  <c r="F145" i="4"/>
  <c r="H145" i="4" s="1"/>
  <c r="F130" i="4"/>
  <c r="H130" i="4" s="1"/>
  <c r="F115" i="4"/>
  <c r="H115" i="4" s="1"/>
  <c r="F100" i="4"/>
  <c r="H100" i="4" s="1"/>
  <c r="F85" i="4"/>
  <c r="H85" i="4" s="1"/>
  <c r="F70" i="4"/>
  <c r="H70" i="4" s="1"/>
  <c r="F55" i="4"/>
  <c r="H55" i="4" s="1"/>
  <c r="F40" i="4"/>
  <c r="H40" i="4" s="1"/>
  <c r="F25" i="4"/>
  <c r="H25" i="4" s="1"/>
  <c r="F535" i="4"/>
  <c r="H535" i="4" s="1"/>
  <c r="F505" i="4"/>
  <c r="H505" i="4" s="1"/>
  <c r="F475" i="4"/>
  <c r="H475" i="4" s="1"/>
  <c r="F445" i="4"/>
  <c r="H445" i="4" s="1"/>
  <c r="F415" i="4"/>
  <c r="H415" i="4" s="1"/>
  <c r="F385" i="4"/>
  <c r="H385" i="4" s="1"/>
  <c r="F355" i="4"/>
  <c r="H355" i="4" s="1"/>
  <c r="F325" i="4"/>
  <c r="H325" i="4" s="1"/>
  <c r="F295" i="4"/>
  <c r="H295" i="4" s="1"/>
  <c r="F265" i="4"/>
  <c r="H265" i="4" s="1"/>
  <c r="F235" i="4"/>
  <c r="H235" i="4" s="1"/>
  <c r="H9" i="4"/>
  <c r="F1494" i="4"/>
  <c r="H1494" i="4" s="1"/>
  <c r="F1479" i="4"/>
  <c r="H1479" i="4" s="1"/>
  <c r="F1464" i="4"/>
  <c r="H1464" i="4" s="1"/>
  <c r="F1449" i="4"/>
  <c r="H1449" i="4" s="1"/>
  <c r="F1434" i="4"/>
  <c r="H1434" i="4" s="1"/>
  <c r="F1419" i="4"/>
  <c r="H1419" i="4" s="1"/>
  <c r="F1404" i="4"/>
  <c r="H1404" i="4" s="1"/>
  <c r="F1389" i="4"/>
  <c r="H1389" i="4" s="1"/>
  <c r="F1374" i="4"/>
  <c r="H1374" i="4" s="1"/>
  <c r="F1359" i="4"/>
  <c r="H1359" i="4" s="1"/>
  <c r="F1344" i="4"/>
  <c r="H1344" i="4" s="1"/>
  <c r="F1329" i="4"/>
  <c r="H1329" i="4" s="1"/>
  <c r="F1314" i="4"/>
  <c r="H1314" i="4" s="1"/>
  <c r="F1299" i="4"/>
  <c r="H1299" i="4" s="1"/>
  <c r="F1284" i="4"/>
  <c r="H1284" i="4" s="1"/>
  <c r="F1269" i="4"/>
  <c r="H1269" i="4" s="1"/>
  <c r="F1254" i="4"/>
  <c r="H1254" i="4" s="1"/>
  <c r="F1239" i="4"/>
  <c r="H1239" i="4" s="1"/>
  <c r="F1224" i="4"/>
  <c r="H1224" i="4" s="1"/>
  <c r="F1209" i="4"/>
  <c r="H1209" i="4" s="1"/>
  <c r="F1194" i="4"/>
  <c r="H1194" i="4" s="1"/>
  <c r="F1179" i="4"/>
  <c r="H1179" i="4" s="1"/>
  <c r="F1164" i="4"/>
  <c r="H1164" i="4" s="1"/>
  <c r="F1149" i="4"/>
  <c r="H1149" i="4" s="1"/>
  <c r="F1134" i="4"/>
  <c r="H1134" i="4" s="1"/>
  <c r="F1119" i="4"/>
  <c r="H1119" i="4" s="1"/>
  <c r="F1104" i="4"/>
  <c r="H1104" i="4" s="1"/>
  <c r="F1089" i="4"/>
  <c r="H1089" i="4" s="1"/>
  <c r="F1074" i="4"/>
  <c r="H1074" i="4" s="1"/>
  <c r="F1059" i="4"/>
  <c r="H1059" i="4" s="1"/>
  <c r="F1044" i="4"/>
  <c r="H1044" i="4" s="1"/>
  <c r="F1029" i="4"/>
  <c r="H1029" i="4" s="1"/>
  <c r="F1014" i="4"/>
  <c r="H1014" i="4" s="1"/>
  <c r="F999" i="4"/>
  <c r="H999" i="4" s="1"/>
  <c r="F984" i="4"/>
  <c r="H984" i="4" s="1"/>
  <c r="F969" i="4"/>
  <c r="H969" i="4" s="1"/>
  <c r="F954" i="4"/>
  <c r="H954" i="4" s="1"/>
  <c r="F939" i="4"/>
  <c r="H939" i="4" s="1"/>
  <c r="F924" i="4"/>
  <c r="H924" i="4" s="1"/>
  <c r="F909" i="4"/>
  <c r="H909" i="4" s="1"/>
  <c r="F894" i="4"/>
  <c r="H894" i="4" s="1"/>
  <c r="F879" i="4"/>
  <c r="H879" i="4" s="1"/>
  <c r="F864" i="4"/>
  <c r="H864" i="4" s="1"/>
  <c r="F849" i="4"/>
  <c r="H849" i="4" s="1"/>
  <c r="F834" i="4"/>
  <c r="H834" i="4" s="1"/>
  <c r="F819" i="4"/>
  <c r="H819" i="4" s="1"/>
  <c r="F804" i="4"/>
  <c r="H804" i="4" s="1"/>
  <c r="F789" i="4"/>
  <c r="H789" i="4" s="1"/>
  <c r="F774" i="4"/>
  <c r="H774" i="4" s="1"/>
  <c r="F759" i="4"/>
  <c r="H759" i="4" s="1"/>
  <c r="F744" i="4"/>
  <c r="H744" i="4" s="1"/>
  <c r="F729" i="4"/>
  <c r="H729" i="4" s="1"/>
  <c r="F714" i="4"/>
  <c r="H714" i="4" s="1"/>
  <c r="F699" i="4"/>
  <c r="H699" i="4" s="1"/>
  <c r="F684" i="4"/>
  <c r="H684" i="4" s="1"/>
  <c r="F669" i="4"/>
  <c r="H669" i="4" s="1"/>
  <c r="F654" i="4"/>
  <c r="H654" i="4" s="1"/>
  <c r="F639" i="4"/>
  <c r="H639" i="4" s="1"/>
  <c r="F624" i="4"/>
  <c r="H624" i="4" s="1"/>
  <c r="F609" i="4"/>
  <c r="H609" i="4" s="1"/>
  <c r="F594" i="4"/>
  <c r="H594" i="4" s="1"/>
  <c r="F579" i="4"/>
  <c r="H579" i="4" s="1"/>
  <c r="F564" i="4"/>
  <c r="H564" i="4" s="1"/>
  <c r="F549" i="4"/>
  <c r="H549" i="4" s="1"/>
  <c r="F534" i="4"/>
  <c r="H534" i="4" s="1"/>
  <c r="F519" i="4"/>
  <c r="H519" i="4" s="1"/>
  <c r="F504" i="4"/>
  <c r="H504" i="4" s="1"/>
  <c r="F489" i="4"/>
  <c r="H489" i="4" s="1"/>
  <c r="F474" i="4"/>
  <c r="H474" i="4" s="1"/>
  <c r="F459" i="4"/>
  <c r="H459" i="4" s="1"/>
  <c r="F444" i="4"/>
  <c r="H444" i="4" s="1"/>
  <c r="F429" i="4"/>
  <c r="H429" i="4" s="1"/>
  <c r="F414" i="4"/>
  <c r="H414" i="4" s="1"/>
  <c r="F399" i="4"/>
  <c r="H399" i="4" s="1"/>
  <c r="F384" i="4"/>
  <c r="H384" i="4" s="1"/>
  <c r="F369" i="4"/>
  <c r="H369" i="4" s="1"/>
  <c r="F354" i="4"/>
  <c r="H354" i="4" s="1"/>
  <c r="F339" i="4"/>
  <c r="H339" i="4" s="1"/>
  <c r="F324" i="4"/>
  <c r="H324" i="4" s="1"/>
  <c r="F309" i="4"/>
  <c r="H309" i="4" s="1"/>
  <c r="F294" i="4"/>
  <c r="H294" i="4" s="1"/>
  <c r="F279" i="4"/>
  <c r="H279" i="4" s="1"/>
  <c r="F264" i="4"/>
  <c r="H264" i="4" s="1"/>
  <c r="F249" i="4"/>
  <c r="H249" i="4" s="1"/>
  <c r="F234" i="4"/>
  <c r="H234" i="4" s="1"/>
  <c r="F39" i="4"/>
  <c r="H39" i="4" s="1"/>
  <c r="F24" i="4"/>
  <c r="H24" i="4" s="1"/>
  <c r="F219" i="4"/>
  <c r="H219" i="4" s="1"/>
  <c r="F204" i="4"/>
  <c r="H204" i="4" s="1"/>
  <c r="F189" i="4"/>
  <c r="H189" i="4" s="1"/>
  <c r="F174" i="4"/>
  <c r="H174" i="4" s="1"/>
  <c r="F159" i="4"/>
  <c r="H159" i="4" s="1"/>
  <c r="F144" i="4"/>
  <c r="H144" i="4" s="1"/>
  <c r="F129" i="4"/>
  <c r="H129" i="4" s="1"/>
  <c r="F114" i="4"/>
  <c r="H114" i="4" s="1"/>
  <c r="F99" i="4"/>
  <c r="H99" i="4" s="1"/>
  <c r="F84" i="4"/>
  <c r="H84" i="4" s="1"/>
  <c r="F69" i="4"/>
  <c r="H69" i="4" s="1"/>
  <c r="F54" i="4"/>
  <c r="H54" i="4" s="1"/>
  <c r="I12" i="5"/>
  <c r="K12" i="5" s="1"/>
  <c r="G12" i="5"/>
  <c r="K11" i="5"/>
  <c r="J11" i="5"/>
  <c r="G8" i="5"/>
  <c r="I8" i="5"/>
  <c r="G10" i="5"/>
  <c r="I10" i="5"/>
  <c r="G13" i="5"/>
  <c r="I13" i="5"/>
  <c r="K9" i="5"/>
  <c r="J9" i="5"/>
  <c r="J12" i="5"/>
  <c r="G9" i="5"/>
  <c r="G11" i="5"/>
  <c r="C28" i="4"/>
  <c r="C43" i="4" s="1"/>
  <c r="C58" i="4" s="1"/>
  <c r="C73" i="4" s="1"/>
  <c r="C88" i="4" s="1"/>
  <c r="C103" i="4" s="1"/>
  <c r="C118" i="4" s="1"/>
  <c r="C133" i="4" s="1"/>
  <c r="C148" i="4" s="1"/>
  <c r="C163" i="4" s="1"/>
  <c r="C178" i="4" s="1"/>
  <c r="C193" i="4" s="1"/>
  <c r="C208" i="4" s="1"/>
  <c r="C223" i="4" s="1"/>
  <c r="C238" i="4" s="1"/>
  <c r="C253" i="4" s="1"/>
  <c r="C268" i="4" s="1"/>
  <c r="C283" i="4" s="1"/>
  <c r="C298" i="4" s="1"/>
  <c r="C313" i="4" s="1"/>
  <c r="C328" i="4" s="1"/>
  <c r="C343" i="4" s="1"/>
  <c r="C358" i="4" s="1"/>
  <c r="C373" i="4" s="1"/>
  <c r="C388" i="4" s="1"/>
  <c r="C403" i="4" s="1"/>
  <c r="C418" i="4" s="1"/>
  <c r="C433" i="4" s="1"/>
  <c r="C448" i="4" s="1"/>
  <c r="C463" i="4" s="1"/>
  <c r="C478" i="4" s="1"/>
  <c r="C493" i="4" s="1"/>
  <c r="C508" i="4" s="1"/>
  <c r="C523" i="4" s="1"/>
  <c r="C538" i="4" s="1"/>
  <c r="C553" i="4" s="1"/>
  <c r="C568" i="4" s="1"/>
  <c r="C583" i="4" s="1"/>
  <c r="C598" i="4" s="1"/>
  <c r="C613" i="4" s="1"/>
  <c r="C628" i="4" s="1"/>
  <c r="C643" i="4" s="1"/>
  <c r="C658" i="4" s="1"/>
  <c r="C673" i="4" s="1"/>
  <c r="C688" i="4" s="1"/>
  <c r="C703" i="4" s="1"/>
  <c r="C718" i="4" s="1"/>
  <c r="C733" i="4" s="1"/>
  <c r="C748" i="4" s="1"/>
  <c r="C763" i="4" s="1"/>
  <c r="C778" i="4" s="1"/>
  <c r="C793" i="4" s="1"/>
  <c r="C808" i="4" s="1"/>
  <c r="C823" i="4" s="1"/>
  <c r="C838" i="4" s="1"/>
  <c r="C853" i="4" s="1"/>
  <c r="C868" i="4" s="1"/>
  <c r="C883" i="4" s="1"/>
  <c r="C898" i="4" s="1"/>
  <c r="C913" i="4" s="1"/>
  <c r="C928" i="4" s="1"/>
  <c r="C943" i="4" s="1"/>
  <c r="C958" i="4" s="1"/>
  <c r="C973" i="4" s="1"/>
  <c r="C988" i="4" s="1"/>
  <c r="C1003" i="4" s="1"/>
  <c r="C1018" i="4" s="1"/>
  <c r="C1033" i="4" s="1"/>
  <c r="C1048" i="4" s="1"/>
  <c r="C1063" i="4" s="1"/>
  <c r="C1078" i="4" s="1"/>
  <c r="C1093" i="4" s="1"/>
  <c r="C1108" i="4" s="1"/>
  <c r="C1123" i="4" s="1"/>
  <c r="C1138" i="4" s="1"/>
  <c r="C1153" i="4" s="1"/>
  <c r="C1168" i="4" s="1"/>
  <c r="C1183" i="4" s="1"/>
  <c r="C1198" i="4" s="1"/>
  <c r="C1213" i="4" s="1"/>
  <c r="C1228" i="4" s="1"/>
  <c r="C1243" i="4" s="1"/>
  <c r="C1258" i="4" s="1"/>
  <c r="C1273" i="4" s="1"/>
  <c r="C1288" i="4" s="1"/>
  <c r="C1303" i="4" s="1"/>
  <c r="C1318" i="4" s="1"/>
  <c r="C1333" i="4" s="1"/>
  <c r="C1348" i="4" s="1"/>
  <c r="C1363" i="4" s="1"/>
  <c r="C1378" i="4" s="1"/>
  <c r="C1393" i="4" s="1"/>
  <c r="C1408" i="4" s="1"/>
  <c r="C1423" i="4" s="1"/>
  <c r="C1438" i="4" s="1"/>
  <c r="C1453" i="4" s="1"/>
  <c r="C1468" i="4" s="1"/>
  <c r="C1483" i="4" s="1"/>
  <c r="C1498" i="4" s="1"/>
  <c r="B28" i="4"/>
  <c r="B43" i="4" s="1"/>
  <c r="B58" i="4" s="1"/>
  <c r="B73" i="4" s="1"/>
  <c r="B88" i="4" s="1"/>
  <c r="B103" i="4" s="1"/>
  <c r="B118" i="4" s="1"/>
  <c r="B133" i="4" s="1"/>
  <c r="B148" i="4" s="1"/>
  <c r="B163" i="4" s="1"/>
  <c r="B178" i="4" s="1"/>
  <c r="B193" i="4" s="1"/>
  <c r="B208" i="4" s="1"/>
  <c r="B223" i="4" s="1"/>
  <c r="B238" i="4" s="1"/>
  <c r="B253" i="4" s="1"/>
  <c r="B268" i="4" s="1"/>
  <c r="B283" i="4" s="1"/>
  <c r="B298" i="4" s="1"/>
  <c r="B313" i="4" s="1"/>
  <c r="B328" i="4" s="1"/>
  <c r="B343" i="4" s="1"/>
  <c r="B358" i="4" s="1"/>
  <c r="B373" i="4" s="1"/>
  <c r="B388" i="4" s="1"/>
  <c r="B403" i="4" s="1"/>
  <c r="B418" i="4" s="1"/>
  <c r="B433" i="4" s="1"/>
  <c r="B448" i="4" s="1"/>
  <c r="B463" i="4" s="1"/>
  <c r="B478" i="4" s="1"/>
  <c r="B493" i="4" s="1"/>
  <c r="B508" i="4" s="1"/>
  <c r="B523" i="4" s="1"/>
  <c r="B538" i="4" s="1"/>
  <c r="B553" i="4" s="1"/>
  <c r="B568" i="4" s="1"/>
  <c r="B583" i="4" s="1"/>
  <c r="B598" i="4" s="1"/>
  <c r="B613" i="4" s="1"/>
  <c r="B628" i="4" s="1"/>
  <c r="B643" i="4" s="1"/>
  <c r="B658" i="4" s="1"/>
  <c r="B673" i="4" s="1"/>
  <c r="B688" i="4" s="1"/>
  <c r="B703" i="4" s="1"/>
  <c r="B718" i="4" s="1"/>
  <c r="B733" i="4" s="1"/>
  <c r="B748" i="4" s="1"/>
  <c r="B763" i="4" s="1"/>
  <c r="B778" i="4" s="1"/>
  <c r="B793" i="4" s="1"/>
  <c r="B808" i="4" s="1"/>
  <c r="B823" i="4" s="1"/>
  <c r="B838" i="4" s="1"/>
  <c r="B853" i="4" s="1"/>
  <c r="B868" i="4" s="1"/>
  <c r="B883" i="4" s="1"/>
  <c r="B898" i="4" s="1"/>
  <c r="B913" i="4" s="1"/>
  <c r="B928" i="4" s="1"/>
  <c r="B943" i="4" s="1"/>
  <c r="B958" i="4" s="1"/>
  <c r="B973" i="4" s="1"/>
  <c r="B988" i="4" s="1"/>
  <c r="B1003" i="4" s="1"/>
  <c r="B1018" i="4" s="1"/>
  <c r="B1033" i="4" s="1"/>
  <c r="B1048" i="4" s="1"/>
  <c r="B1063" i="4" s="1"/>
  <c r="B1078" i="4" s="1"/>
  <c r="B1093" i="4" s="1"/>
  <c r="B1108" i="4" s="1"/>
  <c r="B1123" i="4" s="1"/>
  <c r="B1138" i="4" s="1"/>
  <c r="B1153" i="4" s="1"/>
  <c r="B1168" i="4" s="1"/>
  <c r="B1183" i="4" s="1"/>
  <c r="B1198" i="4" s="1"/>
  <c r="B1213" i="4" s="1"/>
  <c r="B1228" i="4" s="1"/>
  <c r="B1243" i="4" s="1"/>
  <c r="B1258" i="4" s="1"/>
  <c r="B1273" i="4" s="1"/>
  <c r="B1288" i="4" s="1"/>
  <c r="B1303" i="4" s="1"/>
  <c r="B1318" i="4" s="1"/>
  <c r="B1333" i="4" s="1"/>
  <c r="B1348" i="4" s="1"/>
  <c r="B1363" i="4" s="1"/>
  <c r="B1378" i="4" s="1"/>
  <c r="B1393" i="4" s="1"/>
  <c r="B1408" i="4" s="1"/>
  <c r="B1423" i="4" s="1"/>
  <c r="B1438" i="4" s="1"/>
  <c r="B1453" i="4" s="1"/>
  <c r="B1468" i="4" s="1"/>
  <c r="B1483" i="4" s="1"/>
  <c r="B1498" i="4" s="1"/>
  <c r="C27" i="4"/>
  <c r="C42" i="4" s="1"/>
  <c r="C57" i="4" s="1"/>
  <c r="C72" i="4" s="1"/>
  <c r="C87" i="4" s="1"/>
  <c r="C102" i="4" s="1"/>
  <c r="C117" i="4" s="1"/>
  <c r="C132" i="4" s="1"/>
  <c r="C147" i="4" s="1"/>
  <c r="C162" i="4" s="1"/>
  <c r="C177" i="4" s="1"/>
  <c r="C192" i="4" s="1"/>
  <c r="C207" i="4" s="1"/>
  <c r="C222" i="4" s="1"/>
  <c r="C237" i="4" s="1"/>
  <c r="C252" i="4" s="1"/>
  <c r="C267" i="4" s="1"/>
  <c r="C282" i="4" s="1"/>
  <c r="C297" i="4" s="1"/>
  <c r="C312" i="4" s="1"/>
  <c r="C327" i="4" s="1"/>
  <c r="C342" i="4" s="1"/>
  <c r="C357" i="4" s="1"/>
  <c r="C372" i="4" s="1"/>
  <c r="C387" i="4" s="1"/>
  <c r="C402" i="4" s="1"/>
  <c r="C417" i="4" s="1"/>
  <c r="C432" i="4" s="1"/>
  <c r="C447" i="4" s="1"/>
  <c r="C462" i="4" s="1"/>
  <c r="C477" i="4" s="1"/>
  <c r="C492" i="4" s="1"/>
  <c r="C507" i="4" s="1"/>
  <c r="C522" i="4" s="1"/>
  <c r="C537" i="4" s="1"/>
  <c r="C552" i="4" s="1"/>
  <c r="C567" i="4" s="1"/>
  <c r="C582" i="4" s="1"/>
  <c r="C597" i="4" s="1"/>
  <c r="C612" i="4" s="1"/>
  <c r="C627" i="4" s="1"/>
  <c r="C642" i="4" s="1"/>
  <c r="C657" i="4" s="1"/>
  <c r="C672" i="4" s="1"/>
  <c r="C687" i="4" s="1"/>
  <c r="C702" i="4" s="1"/>
  <c r="C717" i="4" s="1"/>
  <c r="C732" i="4" s="1"/>
  <c r="C747" i="4" s="1"/>
  <c r="C762" i="4" s="1"/>
  <c r="C777" i="4" s="1"/>
  <c r="C792" i="4" s="1"/>
  <c r="C807" i="4" s="1"/>
  <c r="C822" i="4" s="1"/>
  <c r="C837" i="4" s="1"/>
  <c r="C852" i="4" s="1"/>
  <c r="C867" i="4" s="1"/>
  <c r="C882" i="4" s="1"/>
  <c r="C897" i="4" s="1"/>
  <c r="C912" i="4" s="1"/>
  <c r="C927" i="4" s="1"/>
  <c r="C942" i="4" s="1"/>
  <c r="C957" i="4" s="1"/>
  <c r="C972" i="4" s="1"/>
  <c r="C987" i="4" s="1"/>
  <c r="C1002" i="4" s="1"/>
  <c r="C1017" i="4" s="1"/>
  <c r="C1032" i="4" s="1"/>
  <c r="C1047" i="4" s="1"/>
  <c r="C1062" i="4" s="1"/>
  <c r="C1077" i="4" s="1"/>
  <c r="C1092" i="4" s="1"/>
  <c r="C1107" i="4" s="1"/>
  <c r="C1122" i="4" s="1"/>
  <c r="C1137" i="4" s="1"/>
  <c r="C1152" i="4" s="1"/>
  <c r="C1167" i="4" s="1"/>
  <c r="C1182" i="4" s="1"/>
  <c r="C1197" i="4" s="1"/>
  <c r="C1212" i="4" s="1"/>
  <c r="C1227" i="4" s="1"/>
  <c r="C1242" i="4" s="1"/>
  <c r="C1257" i="4" s="1"/>
  <c r="C1272" i="4" s="1"/>
  <c r="C1287" i="4" s="1"/>
  <c r="C1302" i="4" s="1"/>
  <c r="C1317" i="4" s="1"/>
  <c r="C1332" i="4" s="1"/>
  <c r="C1347" i="4" s="1"/>
  <c r="C1362" i="4" s="1"/>
  <c r="C1377" i="4" s="1"/>
  <c r="C1392" i="4" s="1"/>
  <c r="C1407" i="4" s="1"/>
  <c r="C1422" i="4" s="1"/>
  <c r="C1437" i="4" s="1"/>
  <c r="C1452" i="4" s="1"/>
  <c r="C1467" i="4" s="1"/>
  <c r="C1482" i="4" s="1"/>
  <c r="C1497" i="4" s="1"/>
  <c r="B27" i="4"/>
  <c r="B42" i="4" s="1"/>
  <c r="B57" i="4" s="1"/>
  <c r="B72" i="4" s="1"/>
  <c r="B87" i="4" s="1"/>
  <c r="B102" i="4" s="1"/>
  <c r="B117" i="4" s="1"/>
  <c r="B132" i="4" s="1"/>
  <c r="B147" i="4" s="1"/>
  <c r="B162" i="4" s="1"/>
  <c r="B177" i="4" s="1"/>
  <c r="B192" i="4" s="1"/>
  <c r="B207" i="4" s="1"/>
  <c r="B222" i="4" s="1"/>
  <c r="B237" i="4" s="1"/>
  <c r="B252" i="4" s="1"/>
  <c r="B267" i="4" s="1"/>
  <c r="B282" i="4" s="1"/>
  <c r="B297" i="4" s="1"/>
  <c r="B312" i="4" s="1"/>
  <c r="B327" i="4" s="1"/>
  <c r="B342" i="4" s="1"/>
  <c r="B357" i="4" s="1"/>
  <c r="B372" i="4" s="1"/>
  <c r="B387" i="4" s="1"/>
  <c r="B402" i="4" s="1"/>
  <c r="B417" i="4" s="1"/>
  <c r="B432" i="4" s="1"/>
  <c r="B447" i="4" s="1"/>
  <c r="B462" i="4" s="1"/>
  <c r="B477" i="4" s="1"/>
  <c r="B492" i="4" s="1"/>
  <c r="B507" i="4" s="1"/>
  <c r="B522" i="4" s="1"/>
  <c r="B537" i="4" s="1"/>
  <c r="B552" i="4" s="1"/>
  <c r="B567" i="4" s="1"/>
  <c r="B582" i="4" s="1"/>
  <c r="B597" i="4" s="1"/>
  <c r="B612" i="4" s="1"/>
  <c r="B627" i="4" s="1"/>
  <c r="B642" i="4" s="1"/>
  <c r="B657" i="4" s="1"/>
  <c r="B672" i="4" s="1"/>
  <c r="B687" i="4" s="1"/>
  <c r="B702" i="4" s="1"/>
  <c r="B717" i="4" s="1"/>
  <c r="B732" i="4" s="1"/>
  <c r="B747" i="4" s="1"/>
  <c r="B762" i="4" s="1"/>
  <c r="B777" i="4" s="1"/>
  <c r="B792" i="4" s="1"/>
  <c r="B807" i="4" s="1"/>
  <c r="B822" i="4" s="1"/>
  <c r="B837" i="4" s="1"/>
  <c r="B852" i="4" s="1"/>
  <c r="B867" i="4" s="1"/>
  <c r="B882" i="4" s="1"/>
  <c r="B897" i="4" s="1"/>
  <c r="B912" i="4" s="1"/>
  <c r="B927" i="4" s="1"/>
  <c r="B942" i="4" s="1"/>
  <c r="B957" i="4" s="1"/>
  <c r="B972" i="4" s="1"/>
  <c r="B987" i="4" s="1"/>
  <c r="B1002" i="4" s="1"/>
  <c r="B1017" i="4" s="1"/>
  <c r="B1032" i="4" s="1"/>
  <c r="B1047" i="4" s="1"/>
  <c r="B1062" i="4" s="1"/>
  <c r="B1077" i="4" s="1"/>
  <c r="B1092" i="4" s="1"/>
  <c r="B1107" i="4" s="1"/>
  <c r="B1122" i="4" s="1"/>
  <c r="B1137" i="4" s="1"/>
  <c r="B1152" i="4" s="1"/>
  <c r="B1167" i="4" s="1"/>
  <c r="B1182" i="4" s="1"/>
  <c r="B1197" i="4" s="1"/>
  <c r="B1212" i="4" s="1"/>
  <c r="B1227" i="4" s="1"/>
  <c r="B1242" i="4" s="1"/>
  <c r="B1257" i="4" s="1"/>
  <c r="B1272" i="4" s="1"/>
  <c r="B1287" i="4" s="1"/>
  <c r="B1302" i="4" s="1"/>
  <c r="B1317" i="4" s="1"/>
  <c r="B1332" i="4" s="1"/>
  <c r="B1347" i="4" s="1"/>
  <c r="B1362" i="4" s="1"/>
  <c r="B1377" i="4" s="1"/>
  <c r="B1392" i="4" s="1"/>
  <c r="B1407" i="4" s="1"/>
  <c r="B1422" i="4" s="1"/>
  <c r="B1437" i="4" s="1"/>
  <c r="B1452" i="4" s="1"/>
  <c r="B1467" i="4" s="1"/>
  <c r="B1482" i="4" s="1"/>
  <c r="B1497" i="4" s="1"/>
  <c r="C26" i="4"/>
  <c r="C41" i="4" s="1"/>
  <c r="C56" i="4" s="1"/>
  <c r="C71" i="4" s="1"/>
  <c r="C86" i="4" s="1"/>
  <c r="C101" i="4" s="1"/>
  <c r="C116" i="4" s="1"/>
  <c r="C131" i="4" s="1"/>
  <c r="C146" i="4" s="1"/>
  <c r="C161" i="4" s="1"/>
  <c r="C176" i="4" s="1"/>
  <c r="C191" i="4" s="1"/>
  <c r="C206" i="4" s="1"/>
  <c r="C221" i="4" s="1"/>
  <c r="C236" i="4" s="1"/>
  <c r="C251" i="4" s="1"/>
  <c r="C266" i="4" s="1"/>
  <c r="C281" i="4" s="1"/>
  <c r="C296" i="4" s="1"/>
  <c r="C311" i="4" s="1"/>
  <c r="C326" i="4" s="1"/>
  <c r="C341" i="4" s="1"/>
  <c r="C356" i="4" s="1"/>
  <c r="C371" i="4" s="1"/>
  <c r="C386" i="4" s="1"/>
  <c r="C401" i="4" s="1"/>
  <c r="C416" i="4" s="1"/>
  <c r="C431" i="4" s="1"/>
  <c r="C446" i="4" s="1"/>
  <c r="C461" i="4" s="1"/>
  <c r="C476" i="4" s="1"/>
  <c r="C491" i="4" s="1"/>
  <c r="C506" i="4" s="1"/>
  <c r="C521" i="4" s="1"/>
  <c r="C536" i="4" s="1"/>
  <c r="C551" i="4" s="1"/>
  <c r="C566" i="4" s="1"/>
  <c r="C581" i="4" s="1"/>
  <c r="C596" i="4" s="1"/>
  <c r="C611" i="4" s="1"/>
  <c r="C626" i="4" s="1"/>
  <c r="C641" i="4" s="1"/>
  <c r="C656" i="4" s="1"/>
  <c r="C671" i="4" s="1"/>
  <c r="C686" i="4" s="1"/>
  <c r="C701" i="4" s="1"/>
  <c r="C716" i="4" s="1"/>
  <c r="C731" i="4" s="1"/>
  <c r="C746" i="4" s="1"/>
  <c r="C761" i="4" s="1"/>
  <c r="C776" i="4" s="1"/>
  <c r="C791" i="4" s="1"/>
  <c r="C806" i="4" s="1"/>
  <c r="C821" i="4" s="1"/>
  <c r="C836" i="4" s="1"/>
  <c r="C851" i="4" s="1"/>
  <c r="C866" i="4" s="1"/>
  <c r="C881" i="4" s="1"/>
  <c r="C896" i="4" s="1"/>
  <c r="C911" i="4" s="1"/>
  <c r="C926" i="4" s="1"/>
  <c r="C941" i="4" s="1"/>
  <c r="C956" i="4" s="1"/>
  <c r="C971" i="4" s="1"/>
  <c r="C986" i="4" s="1"/>
  <c r="C1001" i="4" s="1"/>
  <c r="C1016" i="4" s="1"/>
  <c r="C1031" i="4" s="1"/>
  <c r="C1046" i="4" s="1"/>
  <c r="C1061" i="4" s="1"/>
  <c r="C1076" i="4" s="1"/>
  <c r="C1091" i="4" s="1"/>
  <c r="C1106" i="4" s="1"/>
  <c r="C1121" i="4" s="1"/>
  <c r="C1136" i="4" s="1"/>
  <c r="C1151" i="4" s="1"/>
  <c r="C1166" i="4" s="1"/>
  <c r="C1181" i="4" s="1"/>
  <c r="C1196" i="4" s="1"/>
  <c r="C1211" i="4" s="1"/>
  <c r="C1226" i="4" s="1"/>
  <c r="C1241" i="4" s="1"/>
  <c r="C1256" i="4" s="1"/>
  <c r="C1271" i="4" s="1"/>
  <c r="C1286" i="4" s="1"/>
  <c r="C1301" i="4" s="1"/>
  <c r="C1316" i="4" s="1"/>
  <c r="C1331" i="4" s="1"/>
  <c r="C1346" i="4" s="1"/>
  <c r="C1361" i="4" s="1"/>
  <c r="C1376" i="4" s="1"/>
  <c r="C1391" i="4" s="1"/>
  <c r="C1406" i="4" s="1"/>
  <c r="C1421" i="4" s="1"/>
  <c r="C1436" i="4" s="1"/>
  <c r="C1451" i="4" s="1"/>
  <c r="C1466" i="4" s="1"/>
  <c r="C1481" i="4" s="1"/>
  <c r="C1496" i="4" s="1"/>
  <c r="B26" i="4"/>
  <c r="B41" i="4" s="1"/>
  <c r="B56" i="4" s="1"/>
  <c r="B71" i="4" s="1"/>
  <c r="B86" i="4" s="1"/>
  <c r="B101" i="4" s="1"/>
  <c r="B116" i="4" s="1"/>
  <c r="B131" i="4" s="1"/>
  <c r="B146" i="4" s="1"/>
  <c r="B161" i="4" s="1"/>
  <c r="B176" i="4" s="1"/>
  <c r="B191" i="4" s="1"/>
  <c r="B206" i="4" s="1"/>
  <c r="B221" i="4" s="1"/>
  <c r="B236" i="4" s="1"/>
  <c r="B251" i="4" s="1"/>
  <c r="B266" i="4" s="1"/>
  <c r="B281" i="4" s="1"/>
  <c r="B296" i="4" s="1"/>
  <c r="B311" i="4" s="1"/>
  <c r="B326" i="4" s="1"/>
  <c r="B341" i="4" s="1"/>
  <c r="B356" i="4" s="1"/>
  <c r="B371" i="4" s="1"/>
  <c r="B386" i="4" s="1"/>
  <c r="B401" i="4" s="1"/>
  <c r="B416" i="4" s="1"/>
  <c r="B431" i="4" s="1"/>
  <c r="B446" i="4" s="1"/>
  <c r="B461" i="4" s="1"/>
  <c r="B476" i="4" s="1"/>
  <c r="B491" i="4" s="1"/>
  <c r="B506" i="4" s="1"/>
  <c r="B521" i="4" s="1"/>
  <c r="B536" i="4" s="1"/>
  <c r="B551" i="4" s="1"/>
  <c r="B566" i="4" s="1"/>
  <c r="B581" i="4" s="1"/>
  <c r="B596" i="4" s="1"/>
  <c r="B611" i="4" s="1"/>
  <c r="B626" i="4" s="1"/>
  <c r="B641" i="4" s="1"/>
  <c r="B656" i="4" s="1"/>
  <c r="B671" i="4" s="1"/>
  <c r="B686" i="4" s="1"/>
  <c r="B701" i="4" s="1"/>
  <c r="B716" i="4" s="1"/>
  <c r="B731" i="4" s="1"/>
  <c r="B746" i="4" s="1"/>
  <c r="B761" i="4" s="1"/>
  <c r="B776" i="4" s="1"/>
  <c r="B791" i="4" s="1"/>
  <c r="B806" i="4" s="1"/>
  <c r="B821" i="4" s="1"/>
  <c r="B836" i="4" s="1"/>
  <c r="B851" i="4" s="1"/>
  <c r="B866" i="4" s="1"/>
  <c r="B881" i="4" s="1"/>
  <c r="B896" i="4" s="1"/>
  <c r="B911" i="4" s="1"/>
  <c r="B926" i="4" s="1"/>
  <c r="B941" i="4" s="1"/>
  <c r="B956" i="4" s="1"/>
  <c r="B971" i="4" s="1"/>
  <c r="B986" i="4" s="1"/>
  <c r="B1001" i="4" s="1"/>
  <c r="B1016" i="4" s="1"/>
  <c r="B1031" i="4" s="1"/>
  <c r="B1046" i="4" s="1"/>
  <c r="B1061" i="4" s="1"/>
  <c r="B1076" i="4" s="1"/>
  <c r="B1091" i="4" s="1"/>
  <c r="B1106" i="4" s="1"/>
  <c r="B1121" i="4" s="1"/>
  <c r="B1136" i="4" s="1"/>
  <c r="B1151" i="4" s="1"/>
  <c r="B1166" i="4" s="1"/>
  <c r="B1181" i="4" s="1"/>
  <c r="B1196" i="4" s="1"/>
  <c r="B1211" i="4" s="1"/>
  <c r="B1226" i="4" s="1"/>
  <c r="B1241" i="4" s="1"/>
  <c r="B1256" i="4" s="1"/>
  <c r="B1271" i="4" s="1"/>
  <c r="B1286" i="4" s="1"/>
  <c r="B1301" i="4" s="1"/>
  <c r="B1316" i="4" s="1"/>
  <c r="B1331" i="4" s="1"/>
  <c r="B1346" i="4" s="1"/>
  <c r="B1361" i="4" s="1"/>
  <c r="B1376" i="4" s="1"/>
  <c r="B1391" i="4" s="1"/>
  <c r="B1406" i="4" s="1"/>
  <c r="B1421" i="4" s="1"/>
  <c r="B1436" i="4" s="1"/>
  <c r="B1451" i="4" s="1"/>
  <c r="B1466" i="4" s="1"/>
  <c r="B1481" i="4" s="1"/>
  <c r="B1496" i="4" s="1"/>
  <c r="C25" i="4"/>
  <c r="C40" i="4" s="1"/>
  <c r="C55" i="4" s="1"/>
  <c r="C70" i="4" s="1"/>
  <c r="C85" i="4" s="1"/>
  <c r="C100" i="4" s="1"/>
  <c r="C115" i="4" s="1"/>
  <c r="C130" i="4" s="1"/>
  <c r="C145" i="4" s="1"/>
  <c r="C160" i="4" s="1"/>
  <c r="C175" i="4" s="1"/>
  <c r="C190" i="4" s="1"/>
  <c r="C205" i="4" s="1"/>
  <c r="C220" i="4" s="1"/>
  <c r="C235" i="4" s="1"/>
  <c r="C250" i="4" s="1"/>
  <c r="C265" i="4" s="1"/>
  <c r="C280" i="4" s="1"/>
  <c r="C295" i="4" s="1"/>
  <c r="C310" i="4" s="1"/>
  <c r="C325" i="4" s="1"/>
  <c r="C340" i="4" s="1"/>
  <c r="C355" i="4" s="1"/>
  <c r="C370" i="4" s="1"/>
  <c r="C385" i="4" s="1"/>
  <c r="C400" i="4" s="1"/>
  <c r="C415" i="4" s="1"/>
  <c r="C430" i="4" s="1"/>
  <c r="C445" i="4" s="1"/>
  <c r="C460" i="4" s="1"/>
  <c r="C475" i="4" s="1"/>
  <c r="C490" i="4" s="1"/>
  <c r="C505" i="4" s="1"/>
  <c r="C520" i="4" s="1"/>
  <c r="C535" i="4" s="1"/>
  <c r="C550" i="4" s="1"/>
  <c r="C565" i="4" s="1"/>
  <c r="C580" i="4" s="1"/>
  <c r="C595" i="4" s="1"/>
  <c r="C610" i="4" s="1"/>
  <c r="C625" i="4" s="1"/>
  <c r="C640" i="4" s="1"/>
  <c r="C655" i="4" s="1"/>
  <c r="C670" i="4" s="1"/>
  <c r="C685" i="4" s="1"/>
  <c r="C700" i="4" s="1"/>
  <c r="C715" i="4" s="1"/>
  <c r="C730" i="4" s="1"/>
  <c r="C745" i="4" s="1"/>
  <c r="C760" i="4" s="1"/>
  <c r="C775" i="4" s="1"/>
  <c r="C790" i="4" s="1"/>
  <c r="C805" i="4" s="1"/>
  <c r="C820" i="4" s="1"/>
  <c r="C835" i="4" s="1"/>
  <c r="C850" i="4" s="1"/>
  <c r="C865" i="4" s="1"/>
  <c r="C880" i="4" s="1"/>
  <c r="C895" i="4" s="1"/>
  <c r="C910" i="4" s="1"/>
  <c r="C925" i="4" s="1"/>
  <c r="C940" i="4" s="1"/>
  <c r="C955" i="4" s="1"/>
  <c r="C970" i="4" s="1"/>
  <c r="C985" i="4" s="1"/>
  <c r="C1000" i="4" s="1"/>
  <c r="C1015" i="4" s="1"/>
  <c r="C1030" i="4" s="1"/>
  <c r="C1045" i="4" s="1"/>
  <c r="C1060" i="4" s="1"/>
  <c r="C1075" i="4" s="1"/>
  <c r="C1090" i="4" s="1"/>
  <c r="C1105" i="4" s="1"/>
  <c r="C1120" i="4" s="1"/>
  <c r="C1135" i="4" s="1"/>
  <c r="C1150" i="4" s="1"/>
  <c r="C1165" i="4" s="1"/>
  <c r="C1180" i="4" s="1"/>
  <c r="C1195" i="4" s="1"/>
  <c r="C1210" i="4" s="1"/>
  <c r="C1225" i="4" s="1"/>
  <c r="C1240" i="4" s="1"/>
  <c r="C1255" i="4" s="1"/>
  <c r="C1270" i="4" s="1"/>
  <c r="C1285" i="4" s="1"/>
  <c r="C1300" i="4" s="1"/>
  <c r="C1315" i="4" s="1"/>
  <c r="C1330" i="4" s="1"/>
  <c r="C1345" i="4" s="1"/>
  <c r="C1360" i="4" s="1"/>
  <c r="C1375" i="4" s="1"/>
  <c r="C1390" i="4" s="1"/>
  <c r="C1405" i="4" s="1"/>
  <c r="C1420" i="4" s="1"/>
  <c r="C1435" i="4" s="1"/>
  <c r="C1450" i="4" s="1"/>
  <c r="C1465" i="4" s="1"/>
  <c r="C1480" i="4" s="1"/>
  <c r="C1495" i="4" s="1"/>
  <c r="B25" i="4"/>
  <c r="B40" i="4" s="1"/>
  <c r="B55" i="4" s="1"/>
  <c r="B70" i="4" s="1"/>
  <c r="B85" i="4" s="1"/>
  <c r="B100" i="4" s="1"/>
  <c r="B115" i="4" s="1"/>
  <c r="B130" i="4" s="1"/>
  <c r="B145" i="4" s="1"/>
  <c r="B160" i="4" s="1"/>
  <c r="B175" i="4" s="1"/>
  <c r="B190" i="4" s="1"/>
  <c r="B205" i="4" s="1"/>
  <c r="B220" i="4" s="1"/>
  <c r="B235" i="4" s="1"/>
  <c r="B250" i="4" s="1"/>
  <c r="B265" i="4" s="1"/>
  <c r="B280" i="4" s="1"/>
  <c r="B295" i="4" s="1"/>
  <c r="B310" i="4" s="1"/>
  <c r="B325" i="4" s="1"/>
  <c r="B340" i="4" s="1"/>
  <c r="B355" i="4" s="1"/>
  <c r="B370" i="4" s="1"/>
  <c r="B385" i="4" s="1"/>
  <c r="B400" i="4" s="1"/>
  <c r="B415" i="4" s="1"/>
  <c r="B430" i="4" s="1"/>
  <c r="B445" i="4" s="1"/>
  <c r="B460" i="4" s="1"/>
  <c r="B475" i="4" s="1"/>
  <c r="B490" i="4" s="1"/>
  <c r="B505" i="4" s="1"/>
  <c r="B520" i="4" s="1"/>
  <c r="B535" i="4" s="1"/>
  <c r="B550" i="4" s="1"/>
  <c r="B565" i="4" s="1"/>
  <c r="B580" i="4" s="1"/>
  <c r="B595" i="4" s="1"/>
  <c r="B610" i="4" s="1"/>
  <c r="B625" i="4" s="1"/>
  <c r="B640" i="4" s="1"/>
  <c r="B655" i="4" s="1"/>
  <c r="B670" i="4" s="1"/>
  <c r="B685" i="4" s="1"/>
  <c r="B700" i="4" s="1"/>
  <c r="B715" i="4" s="1"/>
  <c r="B730" i="4" s="1"/>
  <c r="B745" i="4" s="1"/>
  <c r="B760" i="4" s="1"/>
  <c r="B775" i="4" s="1"/>
  <c r="B790" i="4" s="1"/>
  <c r="B805" i="4" s="1"/>
  <c r="B820" i="4" s="1"/>
  <c r="B835" i="4" s="1"/>
  <c r="B850" i="4" s="1"/>
  <c r="B865" i="4" s="1"/>
  <c r="B880" i="4" s="1"/>
  <c r="B895" i="4" s="1"/>
  <c r="B910" i="4" s="1"/>
  <c r="B925" i="4" s="1"/>
  <c r="B940" i="4" s="1"/>
  <c r="B955" i="4" s="1"/>
  <c r="B970" i="4" s="1"/>
  <c r="B985" i="4" s="1"/>
  <c r="B1000" i="4" s="1"/>
  <c r="B1015" i="4" s="1"/>
  <c r="B1030" i="4" s="1"/>
  <c r="B1045" i="4" s="1"/>
  <c r="B1060" i="4" s="1"/>
  <c r="B1075" i="4" s="1"/>
  <c r="B1090" i="4" s="1"/>
  <c r="B1105" i="4" s="1"/>
  <c r="B1120" i="4" s="1"/>
  <c r="B1135" i="4" s="1"/>
  <c r="B1150" i="4" s="1"/>
  <c r="B1165" i="4" s="1"/>
  <c r="B1180" i="4" s="1"/>
  <c r="B1195" i="4" s="1"/>
  <c r="B1210" i="4" s="1"/>
  <c r="B1225" i="4" s="1"/>
  <c r="B1240" i="4" s="1"/>
  <c r="B1255" i="4" s="1"/>
  <c r="B1270" i="4" s="1"/>
  <c r="B1285" i="4" s="1"/>
  <c r="B1300" i="4" s="1"/>
  <c r="B1315" i="4" s="1"/>
  <c r="B1330" i="4" s="1"/>
  <c r="B1345" i="4" s="1"/>
  <c r="B1360" i="4" s="1"/>
  <c r="B1375" i="4" s="1"/>
  <c r="B1390" i="4" s="1"/>
  <c r="B1405" i="4" s="1"/>
  <c r="B1420" i="4" s="1"/>
  <c r="B1435" i="4" s="1"/>
  <c r="B1450" i="4" s="1"/>
  <c r="B1465" i="4" s="1"/>
  <c r="B1480" i="4" s="1"/>
  <c r="B1495" i="4" s="1"/>
  <c r="C24" i="4"/>
  <c r="C39" i="4" s="1"/>
  <c r="C54" i="4" s="1"/>
  <c r="C69" i="4" s="1"/>
  <c r="C84" i="4" s="1"/>
  <c r="C99" i="4" s="1"/>
  <c r="C114" i="4" s="1"/>
  <c r="C129" i="4" s="1"/>
  <c r="C144" i="4" s="1"/>
  <c r="C159" i="4" s="1"/>
  <c r="C174" i="4" s="1"/>
  <c r="C189" i="4" s="1"/>
  <c r="C204" i="4" s="1"/>
  <c r="C219" i="4" s="1"/>
  <c r="C234" i="4" s="1"/>
  <c r="C249" i="4" s="1"/>
  <c r="C264" i="4" s="1"/>
  <c r="C279" i="4" s="1"/>
  <c r="C294" i="4" s="1"/>
  <c r="C309" i="4" s="1"/>
  <c r="C324" i="4" s="1"/>
  <c r="C339" i="4" s="1"/>
  <c r="C354" i="4" s="1"/>
  <c r="C369" i="4" s="1"/>
  <c r="C384" i="4" s="1"/>
  <c r="C399" i="4" s="1"/>
  <c r="C414" i="4" s="1"/>
  <c r="C429" i="4" s="1"/>
  <c r="C444" i="4" s="1"/>
  <c r="C459" i="4" s="1"/>
  <c r="C474" i="4" s="1"/>
  <c r="C489" i="4" s="1"/>
  <c r="C504" i="4" s="1"/>
  <c r="C519" i="4" s="1"/>
  <c r="C534" i="4" s="1"/>
  <c r="C549" i="4" s="1"/>
  <c r="C564" i="4" s="1"/>
  <c r="C579" i="4" s="1"/>
  <c r="C594" i="4" s="1"/>
  <c r="C609" i="4" s="1"/>
  <c r="C624" i="4" s="1"/>
  <c r="C639" i="4" s="1"/>
  <c r="C654" i="4" s="1"/>
  <c r="C669" i="4" s="1"/>
  <c r="C684" i="4" s="1"/>
  <c r="C699" i="4" s="1"/>
  <c r="C714" i="4" s="1"/>
  <c r="C729" i="4" s="1"/>
  <c r="C744" i="4" s="1"/>
  <c r="C759" i="4" s="1"/>
  <c r="C774" i="4" s="1"/>
  <c r="C789" i="4" s="1"/>
  <c r="C804" i="4" s="1"/>
  <c r="C819" i="4" s="1"/>
  <c r="C834" i="4" s="1"/>
  <c r="C849" i="4" s="1"/>
  <c r="C864" i="4" s="1"/>
  <c r="C879" i="4" s="1"/>
  <c r="C894" i="4" s="1"/>
  <c r="C909" i="4" s="1"/>
  <c r="C924" i="4" s="1"/>
  <c r="C939" i="4" s="1"/>
  <c r="C954" i="4" s="1"/>
  <c r="C969" i="4" s="1"/>
  <c r="C984" i="4" s="1"/>
  <c r="C999" i="4" s="1"/>
  <c r="C1014" i="4" s="1"/>
  <c r="C1029" i="4" s="1"/>
  <c r="C1044" i="4" s="1"/>
  <c r="C1059" i="4" s="1"/>
  <c r="C1074" i="4" s="1"/>
  <c r="C1089" i="4" s="1"/>
  <c r="C1104" i="4" s="1"/>
  <c r="C1119" i="4" s="1"/>
  <c r="C1134" i="4" s="1"/>
  <c r="C1149" i="4" s="1"/>
  <c r="C1164" i="4" s="1"/>
  <c r="C1179" i="4" s="1"/>
  <c r="C1194" i="4" s="1"/>
  <c r="C1209" i="4" s="1"/>
  <c r="C1224" i="4" s="1"/>
  <c r="C1239" i="4" s="1"/>
  <c r="C1254" i="4" s="1"/>
  <c r="C1269" i="4" s="1"/>
  <c r="C1284" i="4" s="1"/>
  <c r="C1299" i="4" s="1"/>
  <c r="C1314" i="4" s="1"/>
  <c r="C1329" i="4" s="1"/>
  <c r="C1344" i="4" s="1"/>
  <c r="C1359" i="4" s="1"/>
  <c r="C1374" i="4" s="1"/>
  <c r="C1389" i="4" s="1"/>
  <c r="C1404" i="4" s="1"/>
  <c r="C1419" i="4" s="1"/>
  <c r="C1434" i="4" s="1"/>
  <c r="C1449" i="4" s="1"/>
  <c r="C1464" i="4" s="1"/>
  <c r="C1479" i="4" s="1"/>
  <c r="C1494" i="4" s="1"/>
  <c r="B24" i="4"/>
  <c r="B39" i="4" s="1"/>
  <c r="B54" i="4" s="1"/>
  <c r="B69" i="4" s="1"/>
  <c r="B84" i="4" s="1"/>
  <c r="B99" i="4" s="1"/>
  <c r="B114" i="4" s="1"/>
  <c r="B129" i="4" s="1"/>
  <c r="B144" i="4" s="1"/>
  <c r="B159" i="4" s="1"/>
  <c r="B174" i="4" s="1"/>
  <c r="B189" i="4" s="1"/>
  <c r="B204" i="4" s="1"/>
  <c r="B219" i="4" s="1"/>
  <c r="B234" i="4" s="1"/>
  <c r="B249" i="4" s="1"/>
  <c r="B264" i="4" s="1"/>
  <c r="B279" i="4" s="1"/>
  <c r="B294" i="4" s="1"/>
  <c r="B309" i="4" s="1"/>
  <c r="B324" i="4" s="1"/>
  <c r="B339" i="4" s="1"/>
  <c r="B354" i="4" s="1"/>
  <c r="B369" i="4" s="1"/>
  <c r="B384" i="4" s="1"/>
  <c r="B399" i="4" s="1"/>
  <c r="B414" i="4" s="1"/>
  <c r="B429" i="4" s="1"/>
  <c r="B444" i="4" s="1"/>
  <c r="B459" i="4" s="1"/>
  <c r="B474" i="4" s="1"/>
  <c r="B489" i="4" s="1"/>
  <c r="B504" i="4" s="1"/>
  <c r="B519" i="4" s="1"/>
  <c r="B534" i="4" s="1"/>
  <c r="B549" i="4" s="1"/>
  <c r="B564" i="4" s="1"/>
  <c r="B579" i="4" s="1"/>
  <c r="B594" i="4" s="1"/>
  <c r="B609" i="4" s="1"/>
  <c r="B624" i="4" s="1"/>
  <c r="B639" i="4" s="1"/>
  <c r="B654" i="4" s="1"/>
  <c r="B669" i="4" s="1"/>
  <c r="B684" i="4" s="1"/>
  <c r="B699" i="4" s="1"/>
  <c r="B714" i="4" s="1"/>
  <c r="B729" i="4" s="1"/>
  <c r="B744" i="4" s="1"/>
  <c r="B759" i="4" s="1"/>
  <c r="B774" i="4" s="1"/>
  <c r="B789" i="4" s="1"/>
  <c r="B804" i="4" s="1"/>
  <c r="B819" i="4" s="1"/>
  <c r="B834" i="4" s="1"/>
  <c r="B849" i="4" s="1"/>
  <c r="B864" i="4" s="1"/>
  <c r="B879" i="4" s="1"/>
  <c r="B894" i="4" s="1"/>
  <c r="B909" i="4" s="1"/>
  <c r="B924" i="4" s="1"/>
  <c r="B939" i="4" s="1"/>
  <c r="B954" i="4" s="1"/>
  <c r="B969" i="4" s="1"/>
  <c r="B984" i="4" s="1"/>
  <c r="B999" i="4" s="1"/>
  <c r="B1014" i="4" s="1"/>
  <c r="B1029" i="4" s="1"/>
  <c r="B1044" i="4" s="1"/>
  <c r="B1059" i="4" s="1"/>
  <c r="B1074" i="4" s="1"/>
  <c r="B1089" i="4" s="1"/>
  <c r="B1104" i="4" s="1"/>
  <c r="B1119" i="4" s="1"/>
  <c r="B1134" i="4" s="1"/>
  <c r="B1149" i="4" s="1"/>
  <c r="B1164" i="4" s="1"/>
  <c r="B1179" i="4" s="1"/>
  <c r="B1194" i="4" s="1"/>
  <c r="B1209" i="4" s="1"/>
  <c r="B1224" i="4" s="1"/>
  <c r="B1239" i="4" s="1"/>
  <c r="B1254" i="4" s="1"/>
  <c r="B1269" i="4" s="1"/>
  <c r="B1284" i="4" s="1"/>
  <c r="B1299" i="4" s="1"/>
  <c r="B1314" i="4" s="1"/>
  <c r="B1329" i="4" s="1"/>
  <c r="B1344" i="4" s="1"/>
  <c r="B1359" i="4" s="1"/>
  <c r="B1374" i="4" s="1"/>
  <c r="B1389" i="4" s="1"/>
  <c r="B1404" i="4" s="1"/>
  <c r="B1419" i="4" s="1"/>
  <c r="B1434" i="4" s="1"/>
  <c r="B1449" i="4" s="1"/>
  <c r="B1464" i="4" s="1"/>
  <c r="B1479" i="4" s="1"/>
  <c r="B1494" i="4" s="1"/>
  <c r="C23" i="4"/>
  <c r="C38" i="4" s="1"/>
  <c r="C53" i="4" s="1"/>
  <c r="C68" i="4" s="1"/>
  <c r="C83" i="4" s="1"/>
  <c r="C98" i="4" s="1"/>
  <c r="C113" i="4" s="1"/>
  <c r="C128" i="4" s="1"/>
  <c r="C143" i="4" s="1"/>
  <c r="C158" i="4" s="1"/>
  <c r="C173" i="4" s="1"/>
  <c r="C188" i="4" s="1"/>
  <c r="C203" i="4" s="1"/>
  <c r="C218" i="4" s="1"/>
  <c r="C233" i="4" s="1"/>
  <c r="C248" i="4" s="1"/>
  <c r="C263" i="4" s="1"/>
  <c r="C278" i="4" s="1"/>
  <c r="C293" i="4" s="1"/>
  <c r="C308" i="4" s="1"/>
  <c r="C323" i="4" s="1"/>
  <c r="C338" i="4" s="1"/>
  <c r="C353" i="4" s="1"/>
  <c r="C368" i="4" s="1"/>
  <c r="C383" i="4" s="1"/>
  <c r="C398" i="4" s="1"/>
  <c r="C413" i="4" s="1"/>
  <c r="C428" i="4" s="1"/>
  <c r="C443" i="4" s="1"/>
  <c r="C458" i="4" s="1"/>
  <c r="C473" i="4" s="1"/>
  <c r="C488" i="4" s="1"/>
  <c r="C503" i="4" s="1"/>
  <c r="C518" i="4" s="1"/>
  <c r="C533" i="4" s="1"/>
  <c r="C548" i="4" s="1"/>
  <c r="C563" i="4" s="1"/>
  <c r="C578" i="4" s="1"/>
  <c r="C593" i="4" s="1"/>
  <c r="C608" i="4" s="1"/>
  <c r="C623" i="4" s="1"/>
  <c r="C638" i="4" s="1"/>
  <c r="C653" i="4" s="1"/>
  <c r="C668" i="4" s="1"/>
  <c r="C683" i="4" s="1"/>
  <c r="C698" i="4" s="1"/>
  <c r="C713" i="4" s="1"/>
  <c r="C728" i="4" s="1"/>
  <c r="C743" i="4" s="1"/>
  <c r="C758" i="4" s="1"/>
  <c r="C773" i="4" s="1"/>
  <c r="C788" i="4" s="1"/>
  <c r="C803" i="4" s="1"/>
  <c r="C818" i="4" s="1"/>
  <c r="C833" i="4" s="1"/>
  <c r="C848" i="4" s="1"/>
  <c r="C863" i="4" s="1"/>
  <c r="C878" i="4" s="1"/>
  <c r="C893" i="4" s="1"/>
  <c r="C908" i="4" s="1"/>
  <c r="C923" i="4" s="1"/>
  <c r="C938" i="4" s="1"/>
  <c r="C953" i="4" s="1"/>
  <c r="C968" i="4" s="1"/>
  <c r="C983" i="4" s="1"/>
  <c r="C998" i="4" s="1"/>
  <c r="C1013" i="4" s="1"/>
  <c r="C1028" i="4" s="1"/>
  <c r="C1043" i="4" s="1"/>
  <c r="C1058" i="4" s="1"/>
  <c r="C1073" i="4" s="1"/>
  <c r="C1088" i="4" s="1"/>
  <c r="C1103" i="4" s="1"/>
  <c r="C1118" i="4" s="1"/>
  <c r="C1133" i="4" s="1"/>
  <c r="C1148" i="4" s="1"/>
  <c r="C1163" i="4" s="1"/>
  <c r="C1178" i="4" s="1"/>
  <c r="C1193" i="4" s="1"/>
  <c r="C1208" i="4" s="1"/>
  <c r="C1223" i="4" s="1"/>
  <c r="C1238" i="4" s="1"/>
  <c r="C1253" i="4" s="1"/>
  <c r="C1268" i="4" s="1"/>
  <c r="C1283" i="4" s="1"/>
  <c r="C1298" i="4" s="1"/>
  <c r="C1313" i="4" s="1"/>
  <c r="C1328" i="4" s="1"/>
  <c r="C1343" i="4" s="1"/>
  <c r="C1358" i="4" s="1"/>
  <c r="C1373" i="4" s="1"/>
  <c r="C1388" i="4" s="1"/>
  <c r="C1403" i="4" s="1"/>
  <c r="C1418" i="4" s="1"/>
  <c r="C1433" i="4" s="1"/>
  <c r="C1448" i="4" s="1"/>
  <c r="C1463" i="4" s="1"/>
  <c r="C1478" i="4" s="1"/>
  <c r="C1493" i="4" s="1"/>
  <c r="B23" i="4"/>
  <c r="B38" i="4" s="1"/>
  <c r="B53" i="4" s="1"/>
  <c r="B68" i="4" s="1"/>
  <c r="B83" i="4" s="1"/>
  <c r="B98" i="4" s="1"/>
  <c r="B113" i="4" s="1"/>
  <c r="B128" i="4" s="1"/>
  <c r="B143" i="4" s="1"/>
  <c r="B158" i="4" s="1"/>
  <c r="B173" i="4" s="1"/>
  <c r="B188" i="4" s="1"/>
  <c r="B203" i="4" s="1"/>
  <c r="B218" i="4" s="1"/>
  <c r="B233" i="4" s="1"/>
  <c r="B248" i="4" s="1"/>
  <c r="B263" i="4" s="1"/>
  <c r="B278" i="4" s="1"/>
  <c r="B293" i="4" s="1"/>
  <c r="B308" i="4" s="1"/>
  <c r="B323" i="4" s="1"/>
  <c r="B338" i="4" s="1"/>
  <c r="B353" i="4" s="1"/>
  <c r="B368" i="4" s="1"/>
  <c r="B383" i="4" s="1"/>
  <c r="B398" i="4" s="1"/>
  <c r="B413" i="4" s="1"/>
  <c r="B428" i="4" s="1"/>
  <c r="B443" i="4" s="1"/>
  <c r="B458" i="4" s="1"/>
  <c r="B473" i="4" s="1"/>
  <c r="B488" i="4" s="1"/>
  <c r="B503" i="4" s="1"/>
  <c r="B518" i="4" s="1"/>
  <c r="B533" i="4" s="1"/>
  <c r="B548" i="4" s="1"/>
  <c r="B563" i="4" s="1"/>
  <c r="B578" i="4" s="1"/>
  <c r="B593" i="4" s="1"/>
  <c r="B608" i="4" s="1"/>
  <c r="B623" i="4" s="1"/>
  <c r="B638" i="4" s="1"/>
  <c r="B653" i="4" s="1"/>
  <c r="B668" i="4" s="1"/>
  <c r="B683" i="4" s="1"/>
  <c r="B698" i="4" s="1"/>
  <c r="B713" i="4" s="1"/>
  <c r="B728" i="4" s="1"/>
  <c r="B743" i="4" s="1"/>
  <c r="B758" i="4" s="1"/>
  <c r="B773" i="4" s="1"/>
  <c r="B788" i="4" s="1"/>
  <c r="B803" i="4" s="1"/>
  <c r="B818" i="4" s="1"/>
  <c r="B833" i="4" s="1"/>
  <c r="B848" i="4" s="1"/>
  <c r="B863" i="4" s="1"/>
  <c r="B878" i="4" s="1"/>
  <c r="B893" i="4" s="1"/>
  <c r="B908" i="4" s="1"/>
  <c r="B923" i="4" s="1"/>
  <c r="B938" i="4" s="1"/>
  <c r="B953" i="4" s="1"/>
  <c r="B968" i="4" s="1"/>
  <c r="B983" i="4" s="1"/>
  <c r="B998" i="4" s="1"/>
  <c r="B1013" i="4" s="1"/>
  <c r="B1028" i="4" s="1"/>
  <c r="B1043" i="4" s="1"/>
  <c r="B1058" i="4" s="1"/>
  <c r="B1073" i="4" s="1"/>
  <c r="B1088" i="4" s="1"/>
  <c r="B1103" i="4" s="1"/>
  <c r="B1118" i="4" s="1"/>
  <c r="B1133" i="4" s="1"/>
  <c r="B1148" i="4" s="1"/>
  <c r="B1163" i="4" s="1"/>
  <c r="B1178" i="4" s="1"/>
  <c r="B1193" i="4" s="1"/>
  <c r="B1208" i="4" s="1"/>
  <c r="B1223" i="4" s="1"/>
  <c r="B1238" i="4" s="1"/>
  <c r="B1253" i="4" s="1"/>
  <c r="B1268" i="4" s="1"/>
  <c r="B1283" i="4" s="1"/>
  <c r="B1298" i="4" s="1"/>
  <c r="B1313" i="4" s="1"/>
  <c r="B1328" i="4" s="1"/>
  <c r="B1343" i="4" s="1"/>
  <c r="B1358" i="4" s="1"/>
  <c r="B1373" i="4" s="1"/>
  <c r="B1388" i="4" s="1"/>
  <c r="B1403" i="4" s="1"/>
  <c r="B1418" i="4" s="1"/>
  <c r="B1433" i="4" s="1"/>
  <c r="B1448" i="4" s="1"/>
  <c r="B1463" i="4" s="1"/>
  <c r="B1478" i="4" s="1"/>
  <c r="B1493" i="4" s="1"/>
  <c r="D19" i="4"/>
  <c r="D34" i="4" s="1"/>
  <c r="D49" i="4" s="1"/>
  <c r="D64" i="4" s="1"/>
  <c r="D79" i="4" s="1"/>
  <c r="D94" i="4" s="1"/>
  <c r="D109" i="4" s="1"/>
  <c r="D124" i="4" s="1"/>
  <c r="D139" i="4" s="1"/>
  <c r="D154" i="4" s="1"/>
  <c r="D169" i="4" s="1"/>
  <c r="D184" i="4" s="1"/>
  <c r="D199" i="4" s="1"/>
  <c r="D214" i="4" s="1"/>
  <c r="D229" i="4" s="1"/>
  <c r="D244" i="4" s="1"/>
  <c r="D259" i="4" s="1"/>
  <c r="D274" i="4" s="1"/>
  <c r="D289" i="4" s="1"/>
  <c r="D304" i="4" s="1"/>
  <c r="D319" i="4" s="1"/>
  <c r="D334" i="4" s="1"/>
  <c r="D349" i="4" s="1"/>
  <c r="D364" i="4" s="1"/>
  <c r="D379" i="4" s="1"/>
  <c r="D394" i="4" s="1"/>
  <c r="D409" i="4" s="1"/>
  <c r="D424" i="4" s="1"/>
  <c r="D439" i="4" s="1"/>
  <c r="D454" i="4" s="1"/>
  <c r="D469" i="4" s="1"/>
  <c r="D484" i="4" s="1"/>
  <c r="D499" i="4" s="1"/>
  <c r="D514" i="4" s="1"/>
  <c r="D529" i="4" s="1"/>
  <c r="D544" i="4" s="1"/>
  <c r="D559" i="4" s="1"/>
  <c r="D574" i="4" s="1"/>
  <c r="D589" i="4" s="1"/>
  <c r="D604" i="4" s="1"/>
  <c r="D619" i="4" s="1"/>
  <c r="D634" i="4" s="1"/>
  <c r="D649" i="4" s="1"/>
  <c r="D664" i="4" s="1"/>
  <c r="D679" i="4" s="1"/>
  <c r="D694" i="4" s="1"/>
  <c r="D709" i="4" s="1"/>
  <c r="D724" i="4" s="1"/>
  <c r="D739" i="4" s="1"/>
  <c r="D754" i="4" s="1"/>
  <c r="D769" i="4" s="1"/>
  <c r="D784" i="4" s="1"/>
  <c r="D799" i="4" s="1"/>
  <c r="D814" i="4" s="1"/>
  <c r="D829" i="4" s="1"/>
  <c r="D844" i="4" s="1"/>
  <c r="D859" i="4" s="1"/>
  <c r="D874" i="4" s="1"/>
  <c r="D889" i="4" s="1"/>
  <c r="D904" i="4" s="1"/>
  <c r="D919" i="4" s="1"/>
  <c r="D934" i="4" s="1"/>
  <c r="D949" i="4" s="1"/>
  <c r="D964" i="4" s="1"/>
  <c r="D979" i="4" s="1"/>
  <c r="D994" i="4" s="1"/>
  <c r="D1009" i="4" s="1"/>
  <c r="D1024" i="4" s="1"/>
  <c r="D1039" i="4" s="1"/>
  <c r="D1054" i="4" s="1"/>
  <c r="D1069" i="4" s="1"/>
  <c r="D1084" i="4" s="1"/>
  <c r="D1099" i="4" s="1"/>
  <c r="D1114" i="4" s="1"/>
  <c r="D1129" i="4" s="1"/>
  <c r="D1144" i="4" s="1"/>
  <c r="D1159" i="4" s="1"/>
  <c r="D1174" i="4" s="1"/>
  <c r="D1189" i="4" s="1"/>
  <c r="D1204" i="4" s="1"/>
  <c r="D1219" i="4" s="1"/>
  <c r="D1234" i="4" s="1"/>
  <c r="D1249" i="4" s="1"/>
  <c r="D1264" i="4" s="1"/>
  <c r="D1279" i="4" s="1"/>
  <c r="D1294" i="4" s="1"/>
  <c r="D1309" i="4" s="1"/>
  <c r="D1324" i="4" s="1"/>
  <c r="D1339" i="4" s="1"/>
  <c r="D1354" i="4" s="1"/>
  <c r="D1369" i="4" s="1"/>
  <c r="D1384" i="4" s="1"/>
  <c r="D1399" i="4" s="1"/>
  <c r="D1414" i="4" s="1"/>
  <c r="D1429" i="4" s="1"/>
  <c r="D1444" i="4" s="1"/>
  <c r="D1459" i="4" s="1"/>
  <c r="D1474" i="4" s="1"/>
  <c r="D1489" i="4" s="1"/>
  <c r="B17" i="4"/>
  <c r="B32" i="4" s="1"/>
  <c r="B47" i="4" s="1"/>
  <c r="B62" i="4" s="1"/>
  <c r="B77" i="4" s="1"/>
  <c r="B92" i="4" s="1"/>
  <c r="B107" i="4" s="1"/>
  <c r="B122" i="4" s="1"/>
  <c r="B137" i="4" s="1"/>
  <c r="B152" i="4" s="1"/>
  <c r="B167" i="4" s="1"/>
  <c r="B182" i="4" s="1"/>
  <c r="B197" i="4" s="1"/>
  <c r="B212" i="4" s="1"/>
  <c r="B227" i="4" s="1"/>
  <c r="B242" i="4" s="1"/>
  <c r="B257" i="4" s="1"/>
  <c r="B272" i="4" s="1"/>
  <c r="B287" i="4" s="1"/>
  <c r="B302" i="4" s="1"/>
  <c r="B317" i="4" s="1"/>
  <c r="B332" i="4" s="1"/>
  <c r="B347" i="4" s="1"/>
  <c r="B362" i="4" s="1"/>
  <c r="B377" i="4" s="1"/>
  <c r="B392" i="4" s="1"/>
  <c r="B407" i="4" s="1"/>
  <c r="B422" i="4" s="1"/>
  <c r="B437" i="4" s="1"/>
  <c r="B452" i="4" s="1"/>
  <c r="B467" i="4" s="1"/>
  <c r="B482" i="4" s="1"/>
  <c r="B497" i="4" s="1"/>
  <c r="B512" i="4" s="1"/>
  <c r="B527" i="4" s="1"/>
  <c r="B542" i="4" s="1"/>
  <c r="B557" i="4" s="1"/>
  <c r="B572" i="4" s="1"/>
  <c r="B587" i="4" s="1"/>
  <c r="B602" i="4" s="1"/>
  <c r="B617" i="4" s="1"/>
  <c r="B632" i="4" s="1"/>
  <c r="B647" i="4" s="1"/>
  <c r="B662" i="4" s="1"/>
  <c r="B677" i="4" s="1"/>
  <c r="B692" i="4" s="1"/>
  <c r="B707" i="4" s="1"/>
  <c r="B722" i="4" s="1"/>
  <c r="B737" i="4" s="1"/>
  <c r="B752" i="4" s="1"/>
  <c r="B767" i="4" s="1"/>
  <c r="B782" i="4" s="1"/>
  <c r="B797" i="4" s="1"/>
  <c r="B812" i="4" s="1"/>
  <c r="B827" i="4" s="1"/>
  <c r="B842" i="4" s="1"/>
  <c r="B857" i="4" s="1"/>
  <c r="B872" i="4" s="1"/>
  <c r="B887" i="4" s="1"/>
  <c r="B902" i="4" s="1"/>
  <c r="B917" i="4" s="1"/>
  <c r="B932" i="4" s="1"/>
  <c r="B947" i="4" s="1"/>
  <c r="B962" i="4" s="1"/>
  <c r="B977" i="4" s="1"/>
  <c r="B992" i="4" s="1"/>
  <c r="B1007" i="4" s="1"/>
  <c r="B1022" i="4" s="1"/>
  <c r="B1037" i="4" s="1"/>
  <c r="B1052" i="4" s="1"/>
  <c r="B1067" i="4" s="1"/>
  <c r="B1082" i="4" s="1"/>
  <c r="B1097" i="4" s="1"/>
  <c r="B1112" i="4" s="1"/>
  <c r="B1127" i="4" s="1"/>
  <c r="B1142" i="4" s="1"/>
  <c r="B1157" i="4" s="1"/>
  <c r="B1172" i="4" s="1"/>
  <c r="B1187" i="4" s="1"/>
  <c r="B1202" i="4" s="1"/>
  <c r="B1217" i="4" s="1"/>
  <c r="B1232" i="4" s="1"/>
  <c r="B1247" i="4" s="1"/>
  <c r="B1262" i="4" s="1"/>
  <c r="B1277" i="4" s="1"/>
  <c r="B1292" i="4" s="1"/>
  <c r="B1307" i="4" s="1"/>
  <c r="B1322" i="4" s="1"/>
  <c r="B1337" i="4" s="1"/>
  <c r="B1352" i="4" s="1"/>
  <c r="B1367" i="4" s="1"/>
  <c r="B1382" i="4" s="1"/>
  <c r="B1397" i="4" s="1"/>
  <c r="B1412" i="4" s="1"/>
  <c r="B1427" i="4" s="1"/>
  <c r="B1442" i="4" s="1"/>
  <c r="B1457" i="4" s="1"/>
  <c r="B1472" i="4" s="1"/>
  <c r="B1487" i="4" s="1"/>
  <c r="D13" i="4"/>
  <c r="D12" i="4"/>
  <c r="D11" i="4"/>
  <c r="D10" i="4"/>
  <c r="D9" i="4"/>
  <c r="D8" i="4"/>
  <c r="E8" i="4" l="1"/>
  <c r="G8" i="4" s="1"/>
  <c r="E10" i="4"/>
  <c r="G10" i="4" s="1"/>
  <c r="E12" i="4"/>
  <c r="G12" i="4" s="1"/>
  <c r="E9" i="4"/>
  <c r="G9" i="4" s="1"/>
  <c r="E11" i="4"/>
  <c r="G11" i="4" s="1"/>
  <c r="E13" i="4"/>
  <c r="G13" i="4" s="1"/>
  <c r="K13" i="5"/>
  <c r="J13" i="5"/>
  <c r="I15" i="5"/>
  <c r="K8" i="5"/>
  <c r="J8" i="5"/>
  <c r="I14" i="5"/>
  <c r="K10" i="5"/>
  <c r="J10" i="5"/>
  <c r="K14" i="5" l="1"/>
  <c r="I13" i="4"/>
  <c r="I11" i="4"/>
  <c r="I9" i="4"/>
  <c r="I12" i="4"/>
  <c r="I10" i="4"/>
  <c r="I8" i="4"/>
  <c r="J14" i="5"/>
  <c r="K8" i="4" l="1"/>
  <c r="I14" i="4"/>
  <c r="I15" i="4"/>
  <c r="J8" i="4"/>
  <c r="K12" i="4"/>
  <c r="J12" i="4"/>
  <c r="K11" i="4"/>
  <c r="J11" i="4"/>
  <c r="K10" i="4"/>
  <c r="J10" i="4"/>
  <c r="K9" i="4"/>
  <c r="J9" i="4"/>
  <c r="K13" i="4"/>
  <c r="J13" i="4"/>
  <c r="J14" i="4" l="1"/>
  <c r="B19" i="4" s="1"/>
  <c r="K14" i="4"/>
  <c r="C19" i="4" s="1"/>
  <c r="D28" i="4" l="1"/>
  <c r="E28" i="4" s="1"/>
  <c r="D26" i="4"/>
  <c r="E26" i="4" s="1"/>
  <c r="D24" i="4"/>
  <c r="E24" i="4" s="1"/>
  <c r="D27" i="4"/>
  <c r="E27" i="4" s="1"/>
  <c r="D25" i="4"/>
  <c r="E25" i="4" s="1"/>
  <c r="D23" i="4"/>
  <c r="E23" i="4" s="1"/>
  <c r="G23" i="4" l="1"/>
  <c r="I23" i="4"/>
  <c r="G27" i="4"/>
  <c r="I27" i="4"/>
  <c r="G26" i="4"/>
  <c r="I26" i="4"/>
  <c r="G25" i="4"/>
  <c r="I25" i="4"/>
  <c r="G24" i="4"/>
  <c r="I24" i="4"/>
  <c r="G28" i="4"/>
  <c r="I28" i="4"/>
  <c r="K28" i="4" l="1"/>
  <c r="J28" i="4"/>
  <c r="K24" i="4"/>
  <c r="J24" i="4"/>
  <c r="K25" i="4"/>
  <c r="J25" i="4"/>
  <c r="K26" i="4"/>
  <c r="J26" i="4"/>
  <c r="K27" i="4"/>
  <c r="J27" i="4"/>
  <c r="K23" i="4"/>
  <c r="K29" i="4" s="1"/>
  <c r="C34" i="4" s="1"/>
  <c r="I30" i="4"/>
  <c r="I29" i="4"/>
  <c r="J23" i="4"/>
  <c r="J29" i="4" l="1"/>
  <c r="B34" i="4" s="1"/>
  <c r="D43" i="4"/>
  <c r="E43" i="4" s="1"/>
  <c r="G43" i="4" s="1"/>
  <c r="D39" i="4"/>
  <c r="E39" i="4" s="1"/>
  <c r="G39" i="4" s="1"/>
  <c r="I43" i="4"/>
  <c r="K43" i="4" s="1"/>
  <c r="D38" i="4"/>
  <c r="E38" i="4" s="1"/>
  <c r="G38" i="4" s="1"/>
  <c r="D40" i="4"/>
  <c r="E40" i="4" s="1"/>
  <c r="G40" i="4" s="1"/>
  <c r="D41" i="4"/>
  <c r="E41" i="4" s="1"/>
  <c r="G41" i="4" s="1"/>
  <c r="D42" i="4"/>
  <c r="E42" i="4" s="1"/>
  <c r="G42" i="4" s="1"/>
  <c r="I39" i="4" l="1"/>
  <c r="K39" i="4" s="1"/>
  <c r="I38" i="4"/>
  <c r="J38" i="4" s="1"/>
  <c r="J43" i="4"/>
  <c r="I40" i="4"/>
  <c r="J40" i="4" s="1"/>
  <c r="I42" i="4"/>
  <c r="I41" i="4"/>
  <c r="K40" i="4" l="1"/>
  <c r="J39" i="4"/>
  <c r="K38" i="4"/>
  <c r="K42" i="4"/>
  <c r="J42" i="4"/>
  <c r="K41" i="4"/>
  <c r="I45" i="4"/>
  <c r="I44" i="4"/>
  <c r="J41" i="4"/>
  <c r="J44" i="4" l="1"/>
  <c r="B49" i="4" s="1"/>
  <c r="K44" i="4"/>
  <c r="C49" i="4" s="1"/>
  <c r="D57" i="4" l="1"/>
  <c r="E57" i="4" s="1"/>
  <c r="G57" i="4" s="1"/>
  <c r="D53" i="4"/>
  <c r="E53" i="4" s="1"/>
  <c r="G53" i="4" s="1"/>
  <c r="D58" i="4"/>
  <c r="E58" i="4" s="1"/>
  <c r="G58" i="4" s="1"/>
  <c r="D56" i="4"/>
  <c r="E56" i="4" s="1"/>
  <c r="G56" i="4" s="1"/>
  <c r="D54" i="4"/>
  <c r="E54" i="4" s="1"/>
  <c r="G54" i="4" s="1"/>
  <c r="D55" i="4"/>
  <c r="E55" i="4" s="1"/>
  <c r="I57" i="4"/>
  <c r="J57" i="4" s="1"/>
  <c r="K57" i="4" l="1"/>
  <c r="I53" i="4"/>
  <c r="K53" i="4" s="1"/>
  <c r="I58" i="4"/>
  <c r="K58" i="4" s="1"/>
  <c r="I56" i="4"/>
  <c r="I54" i="4"/>
  <c r="K54" i="4" s="1"/>
  <c r="G55" i="4"/>
  <c r="I55" i="4"/>
  <c r="J58" i="4" l="1"/>
  <c r="J53" i="4"/>
  <c r="J56" i="4"/>
  <c r="K56" i="4"/>
  <c r="I59" i="4"/>
  <c r="J54" i="4"/>
  <c r="K55" i="4"/>
  <c r="J55" i="4"/>
  <c r="I60" i="4"/>
  <c r="K59" i="4" l="1"/>
  <c r="C64" i="4" s="1"/>
  <c r="J59" i="4"/>
  <c r="B64" i="4" s="1"/>
  <c r="D73" i="4" l="1"/>
  <c r="E73" i="4" s="1"/>
  <c r="G73" i="4" s="1"/>
  <c r="D69" i="4"/>
  <c r="E69" i="4" s="1"/>
  <c r="I69" i="4" s="1"/>
  <c r="J69" i="4" s="1"/>
  <c r="D71" i="4"/>
  <c r="E71" i="4" s="1"/>
  <c r="I71" i="4" s="1"/>
  <c r="K71" i="4" s="1"/>
  <c r="D70" i="4"/>
  <c r="E70" i="4" s="1"/>
  <c r="G70" i="4" s="1"/>
  <c r="D68" i="4"/>
  <c r="E68" i="4" s="1"/>
  <c r="I68" i="4" s="1"/>
  <c r="J68" i="4" s="1"/>
  <c r="D72" i="4"/>
  <c r="E72" i="4" s="1"/>
  <c r="G72" i="4" s="1"/>
  <c r="G69" i="4" l="1"/>
  <c r="G71" i="4"/>
  <c r="G68" i="4"/>
  <c r="I70" i="4"/>
  <c r="K70" i="4" s="1"/>
  <c r="I73" i="4"/>
  <c r="K69" i="4"/>
  <c r="I72" i="4"/>
  <c r="J72" i="4" s="1"/>
  <c r="K68" i="4"/>
  <c r="J71" i="4"/>
  <c r="J70" i="4" l="1"/>
  <c r="I74" i="4"/>
  <c r="K73" i="4"/>
  <c r="J73" i="4"/>
  <c r="I75" i="4"/>
  <c r="K72" i="4"/>
  <c r="K74" i="4" l="1"/>
  <c r="C79" i="4" s="1"/>
  <c r="J74" i="4"/>
  <c r="B79" i="4" s="1"/>
  <c r="D88" i="4" l="1"/>
  <c r="E88" i="4" s="1"/>
  <c r="I88" i="4" s="1"/>
  <c r="J88" i="4" s="1"/>
  <c r="D86" i="4"/>
  <c r="E86" i="4" s="1"/>
  <c r="G86" i="4" s="1"/>
  <c r="G88" i="4"/>
  <c r="D84" i="4"/>
  <c r="E84" i="4" s="1"/>
  <c r="G84" i="4" s="1"/>
  <c r="D87" i="4"/>
  <c r="E87" i="4" s="1"/>
  <c r="G87" i="4" s="1"/>
  <c r="D85" i="4"/>
  <c r="E85" i="4" s="1"/>
  <c r="D83" i="4"/>
  <c r="E83" i="4" s="1"/>
  <c r="I86" i="4" l="1"/>
  <c r="J86" i="4" s="1"/>
  <c r="K88" i="4"/>
  <c r="I87" i="4"/>
  <c r="K86" i="4"/>
  <c r="I84" i="4"/>
  <c r="K84" i="4" s="1"/>
  <c r="G83" i="4"/>
  <c r="I83" i="4"/>
  <c r="G85" i="4"/>
  <c r="I85" i="4"/>
  <c r="J84" i="4" l="1"/>
  <c r="I89" i="4"/>
  <c r="J87" i="4"/>
  <c r="K87" i="4"/>
  <c r="K85" i="4"/>
  <c r="J85" i="4"/>
  <c r="J83" i="4"/>
  <c r="K83" i="4"/>
  <c r="I90" i="4"/>
  <c r="J89" i="4" l="1"/>
  <c r="B94" i="4" s="1"/>
  <c r="K89" i="4"/>
  <c r="C94" i="4" s="1"/>
  <c r="D100" i="4" l="1"/>
  <c r="E100" i="4" s="1"/>
  <c r="I100" i="4" s="1"/>
  <c r="D99" i="4"/>
  <c r="E99" i="4" s="1"/>
  <c r="G99" i="4" s="1"/>
  <c r="D102" i="4"/>
  <c r="E102" i="4" s="1"/>
  <c r="G102" i="4" s="1"/>
  <c r="D101" i="4"/>
  <c r="E101" i="4" s="1"/>
  <c r="G101" i="4" s="1"/>
  <c r="D103" i="4"/>
  <c r="E103" i="4" s="1"/>
  <c r="I103" i="4" s="1"/>
  <c r="D98" i="4"/>
  <c r="E98" i="4" s="1"/>
  <c r="I99" i="4" l="1"/>
  <c r="J99" i="4" s="1"/>
  <c r="G103" i="4"/>
  <c r="G100" i="4"/>
  <c r="I102" i="4"/>
  <c r="J102" i="4" s="1"/>
  <c r="I101" i="4"/>
  <c r="G98" i="4"/>
  <c r="I98" i="4"/>
  <c r="K100" i="4"/>
  <c r="J100" i="4"/>
  <c r="J103" i="4"/>
  <c r="K103" i="4"/>
  <c r="K99" i="4" l="1"/>
  <c r="I105" i="4"/>
  <c r="I104" i="4"/>
  <c r="K102" i="4"/>
  <c r="K101" i="4"/>
  <c r="J101" i="4"/>
  <c r="K98" i="4"/>
  <c r="J98" i="4"/>
  <c r="J104" i="4" s="1"/>
  <c r="B109" i="4" s="1"/>
  <c r="K104" i="4" l="1"/>
  <c r="C109" i="4" s="1"/>
  <c r="D118" i="4" s="1"/>
  <c r="E118" i="4" s="1"/>
  <c r="D113" i="4" l="1"/>
  <c r="E113" i="4" s="1"/>
  <c r="G113" i="4" s="1"/>
  <c r="D117" i="4"/>
  <c r="E117" i="4" s="1"/>
  <c r="I117" i="4" s="1"/>
  <c r="D116" i="4"/>
  <c r="E116" i="4" s="1"/>
  <c r="G116" i="4" s="1"/>
  <c r="D115" i="4"/>
  <c r="E115" i="4" s="1"/>
  <c r="I115" i="4" s="1"/>
  <c r="D114" i="4"/>
  <c r="E114" i="4" s="1"/>
  <c r="G114" i="4" s="1"/>
  <c r="G118" i="4"/>
  <c r="I118" i="4"/>
  <c r="G115" i="4" l="1"/>
  <c r="G117" i="4"/>
  <c r="I113" i="4"/>
  <c r="J113" i="4" s="1"/>
  <c r="I114" i="4"/>
  <c r="J114" i="4" s="1"/>
  <c r="I116" i="4"/>
  <c r="J116" i="4" s="1"/>
  <c r="K118" i="4"/>
  <c r="J118" i="4"/>
  <c r="J117" i="4"/>
  <c r="K117" i="4"/>
  <c r="J115" i="4"/>
  <c r="K115" i="4"/>
  <c r="K114" i="4" l="1"/>
  <c r="K116" i="4"/>
  <c r="K113" i="4"/>
  <c r="I120" i="4"/>
  <c r="I119" i="4"/>
  <c r="J119" i="4"/>
  <c r="B124" i="4" s="1"/>
  <c r="K119" i="4" l="1"/>
  <c r="C124" i="4" s="1"/>
  <c r="D133" i="4" s="1"/>
  <c r="E133" i="4" s="1"/>
  <c r="D129" i="4" l="1"/>
  <c r="E129" i="4" s="1"/>
  <c r="G129" i="4" s="1"/>
  <c r="D128" i="4"/>
  <c r="E128" i="4" s="1"/>
  <c r="I128" i="4" s="1"/>
  <c r="D132" i="4"/>
  <c r="E132" i="4" s="1"/>
  <c r="G132" i="4" s="1"/>
  <c r="D131" i="4"/>
  <c r="E131" i="4" s="1"/>
  <c r="I131" i="4" s="1"/>
  <c r="D130" i="4"/>
  <c r="E130" i="4" s="1"/>
  <c r="I130" i="4" s="1"/>
  <c r="G133" i="4"/>
  <c r="I133" i="4"/>
  <c r="I132" i="4" l="1"/>
  <c r="I129" i="4"/>
  <c r="J129" i="4" s="1"/>
  <c r="G128" i="4"/>
  <c r="G130" i="4"/>
  <c r="G131" i="4"/>
  <c r="K133" i="4"/>
  <c r="J133" i="4"/>
  <c r="J130" i="4"/>
  <c r="K130" i="4"/>
  <c r="K131" i="4"/>
  <c r="J131" i="4"/>
  <c r="J132" i="4"/>
  <c r="K132" i="4"/>
  <c r="I135" i="4"/>
  <c r="J128" i="4"/>
  <c r="I134" i="4"/>
  <c r="K128" i="4"/>
  <c r="K129" i="4"/>
  <c r="K134" i="4" l="1"/>
  <c r="C139" i="4" s="1"/>
  <c r="J134" i="4"/>
  <c r="B139" i="4" s="1"/>
  <c r="D148" i="4" l="1"/>
  <c r="E148" i="4" s="1"/>
  <c r="D144" i="4"/>
  <c r="E144" i="4" s="1"/>
  <c r="D147" i="4"/>
  <c r="E147" i="4" s="1"/>
  <c r="D143" i="4"/>
  <c r="E143" i="4" s="1"/>
  <c r="D145" i="4"/>
  <c r="E145" i="4" s="1"/>
  <c r="D146" i="4"/>
  <c r="E146" i="4" s="1"/>
  <c r="G146" i="4" l="1"/>
  <c r="I146" i="4"/>
  <c r="G143" i="4"/>
  <c r="I143" i="4"/>
  <c r="G144" i="4"/>
  <c r="I144" i="4"/>
  <c r="G145" i="4"/>
  <c r="I145" i="4"/>
  <c r="G147" i="4"/>
  <c r="I147" i="4"/>
  <c r="G148" i="4"/>
  <c r="I148" i="4"/>
  <c r="K148" i="4" l="1"/>
  <c r="J148" i="4"/>
  <c r="J147" i="4"/>
  <c r="K147" i="4"/>
  <c r="J145" i="4"/>
  <c r="K145" i="4"/>
  <c r="K144" i="4"/>
  <c r="J144" i="4"/>
  <c r="I150" i="4"/>
  <c r="J143" i="4"/>
  <c r="I149" i="4"/>
  <c r="K143" i="4"/>
  <c r="K146" i="4"/>
  <c r="J146" i="4"/>
  <c r="K149" i="4" l="1"/>
  <c r="C154" i="4" s="1"/>
  <c r="J149" i="4"/>
  <c r="B154" i="4" s="1"/>
  <c r="D163" i="4" l="1"/>
  <c r="E163" i="4" s="1"/>
  <c r="D162" i="4"/>
  <c r="E162" i="4" s="1"/>
  <c r="D160" i="4"/>
  <c r="E160" i="4" s="1"/>
  <c r="D158" i="4"/>
  <c r="E158" i="4" s="1"/>
  <c r="D161" i="4"/>
  <c r="E161" i="4" s="1"/>
  <c r="D159" i="4"/>
  <c r="E159" i="4" s="1"/>
  <c r="G159" i="4" l="1"/>
  <c r="I159" i="4"/>
  <c r="G158" i="4"/>
  <c r="I158" i="4"/>
  <c r="G162" i="4"/>
  <c r="I162" i="4"/>
  <c r="G161" i="4"/>
  <c r="I161" i="4"/>
  <c r="G160" i="4"/>
  <c r="I160" i="4"/>
  <c r="G163" i="4"/>
  <c r="I163" i="4"/>
  <c r="K163" i="4" l="1"/>
  <c r="J163" i="4"/>
  <c r="J160" i="4"/>
  <c r="K160" i="4"/>
  <c r="K161" i="4"/>
  <c r="J161" i="4"/>
  <c r="J162" i="4"/>
  <c r="K162" i="4"/>
  <c r="I165" i="4"/>
  <c r="J158" i="4"/>
  <c r="I164" i="4"/>
  <c r="K158" i="4"/>
  <c r="K159" i="4"/>
  <c r="J159" i="4"/>
  <c r="K164" i="4" l="1"/>
  <c r="C169" i="4" s="1"/>
  <c r="J164" i="4"/>
  <c r="B169" i="4" s="1"/>
  <c r="D178" i="4" l="1"/>
  <c r="E178" i="4" s="1"/>
  <c r="D174" i="4"/>
  <c r="E174" i="4" s="1"/>
  <c r="D177" i="4"/>
  <c r="E177" i="4" s="1"/>
  <c r="D176" i="4"/>
  <c r="E176" i="4" s="1"/>
  <c r="D175" i="4"/>
  <c r="E175" i="4" s="1"/>
  <c r="D173" i="4"/>
  <c r="E173" i="4" s="1"/>
  <c r="G173" i="4" l="1"/>
  <c r="I173" i="4"/>
  <c r="G176" i="4"/>
  <c r="I176" i="4"/>
  <c r="G174" i="4"/>
  <c r="I174" i="4"/>
  <c r="G175" i="4"/>
  <c r="I175" i="4"/>
  <c r="G177" i="4"/>
  <c r="I177" i="4"/>
  <c r="G178" i="4"/>
  <c r="I178" i="4"/>
  <c r="K178" i="4" l="1"/>
  <c r="J178" i="4"/>
  <c r="J177" i="4"/>
  <c r="K177" i="4"/>
  <c r="J175" i="4"/>
  <c r="K175" i="4"/>
  <c r="K174" i="4"/>
  <c r="J174" i="4"/>
  <c r="K176" i="4"/>
  <c r="J176" i="4"/>
  <c r="I180" i="4"/>
  <c r="J173" i="4"/>
  <c r="I179" i="4"/>
  <c r="K173" i="4"/>
  <c r="K179" i="4" l="1"/>
  <c r="C184" i="4" s="1"/>
  <c r="J179" i="4"/>
  <c r="B184" i="4" s="1"/>
  <c r="D192" i="4" l="1"/>
  <c r="E192" i="4" s="1"/>
  <c r="G192" i="4" s="1"/>
  <c r="D193" i="4"/>
  <c r="E193" i="4" s="1"/>
  <c r="G193" i="4" s="1"/>
  <c r="D191" i="4"/>
  <c r="E191" i="4" s="1"/>
  <c r="D189" i="4"/>
  <c r="E189" i="4" s="1"/>
  <c r="D188" i="4"/>
  <c r="E188" i="4" s="1"/>
  <c r="D190" i="4"/>
  <c r="E190" i="4" s="1"/>
  <c r="I192" i="4" l="1"/>
  <c r="J192" i="4" s="1"/>
  <c r="K192" i="4"/>
  <c r="I193" i="4"/>
  <c r="G190" i="4"/>
  <c r="I190" i="4"/>
  <c r="G189" i="4"/>
  <c r="I189" i="4"/>
  <c r="G188" i="4"/>
  <c r="I188" i="4"/>
  <c r="G191" i="4"/>
  <c r="I191" i="4"/>
  <c r="J193" i="4" l="1"/>
  <c r="K193" i="4"/>
  <c r="K191" i="4"/>
  <c r="J191" i="4"/>
  <c r="I195" i="4"/>
  <c r="J188" i="4"/>
  <c r="I194" i="4"/>
  <c r="K188" i="4"/>
  <c r="K189" i="4"/>
  <c r="J189" i="4"/>
  <c r="J190" i="4"/>
  <c r="K190" i="4"/>
  <c r="K194" i="4" l="1"/>
  <c r="C199" i="4" s="1"/>
  <c r="J194" i="4"/>
  <c r="B199" i="4" s="1"/>
  <c r="D205" i="4" l="1"/>
  <c r="E205" i="4" s="1"/>
  <c r="D203" i="4"/>
  <c r="E203" i="4" s="1"/>
  <c r="D206" i="4"/>
  <c r="E206" i="4" s="1"/>
  <c r="D208" i="4"/>
  <c r="E208" i="4" s="1"/>
  <c r="D204" i="4"/>
  <c r="E204" i="4" s="1"/>
  <c r="D207" i="4"/>
  <c r="E207" i="4" s="1"/>
  <c r="G204" i="4" l="1"/>
  <c r="I204" i="4"/>
  <c r="G206" i="4"/>
  <c r="I206" i="4"/>
  <c r="G205" i="4"/>
  <c r="I205" i="4"/>
  <c r="G207" i="4"/>
  <c r="I207" i="4"/>
  <c r="G208" i="4"/>
  <c r="I208" i="4"/>
  <c r="G203" i="4"/>
  <c r="I203" i="4"/>
  <c r="I209" i="4" l="1"/>
  <c r="K203" i="4"/>
  <c r="I210" i="4"/>
  <c r="J203" i="4"/>
  <c r="J208" i="4"/>
  <c r="K208" i="4"/>
  <c r="K207" i="4"/>
  <c r="J207" i="4"/>
  <c r="K205" i="4"/>
  <c r="J205" i="4"/>
  <c r="J206" i="4"/>
  <c r="K206" i="4"/>
  <c r="J204" i="4"/>
  <c r="K204" i="4"/>
  <c r="J209" i="4" l="1"/>
  <c r="B214" i="4" s="1"/>
  <c r="K209" i="4"/>
  <c r="C214" i="4" s="1"/>
  <c r="D218" i="4" l="1"/>
  <c r="E218" i="4" s="1"/>
  <c r="D221" i="4"/>
  <c r="E221" i="4" s="1"/>
  <c r="D219" i="4"/>
  <c r="E219" i="4" s="1"/>
  <c r="D223" i="4"/>
  <c r="E223" i="4" s="1"/>
  <c r="D222" i="4"/>
  <c r="E222" i="4" s="1"/>
  <c r="D220" i="4"/>
  <c r="E220" i="4" s="1"/>
  <c r="G222" i="4" l="1"/>
  <c r="I222" i="4"/>
  <c r="G219" i="4"/>
  <c r="I219" i="4"/>
  <c r="G218" i="4"/>
  <c r="I218" i="4"/>
  <c r="G220" i="4"/>
  <c r="I220" i="4"/>
  <c r="G223" i="4"/>
  <c r="I223" i="4"/>
  <c r="G221" i="4"/>
  <c r="I221" i="4"/>
  <c r="J221" i="4" l="1"/>
  <c r="K221" i="4"/>
  <c r="J223" i="4"/>
  <c r="K223" i="4"/>
  <c r="K220" i="4"/>
  <c r="J220" i="4"/>
  <c r="I224" i="4"/>
  <c r="K218" i="4"/>
  <c r="I225" i="4"/>
  <c r="J218" i="4"/>
  <c r="J219" i="4"/>
  <c r="K219" i="4"/>
  <c r="K222" i="4"/>
  <c r="J222" i="4"/>
  <c r="J224" i="4" l="1"/>
  <c r="B229" i="4" s="1"/>
  <c r="K224" i="4"/>
  <c r="C229" i="4" s="1"/>
  <c r="D235" i="4" l="1"/>
  <c r="E235" i="4" s="1"/>
  <c r="D233" i="4"/>
  <c r="E233" i="4" s="1"/>
  <c r="D236" i="4"/>
  <c r="E236" i="4" s="1"/>
  <c r="D238" i="4"/>
  <c r="E238" i="4" s="1"/>
  <c r="D234" i="4"/>
  <c r="E234" i="4" s="1"/>
  <c r="D237" i="4"/>
  <c r="E237" i="4" s="1"/>
  <c r="G234" i="4" l="1"/>
  <c r="I234" i="4"/>
  <c r="G236" i="4"/>
  <c r="I236" i="4"/>
  <c r="G235" i="4"/>
  <c r="I235" i="4"/>
  <c r="G237" i="4"/>
  <c r="I237" i="4"/>
  <c r="G238" i="4"/>
  <c r="I238" i="4"/>
  <c r="G233" i="4"/>
  <c r="I233" i="4"/>
  <c r="I239" i="4" l="1"/>
  <c r="K233" i="4"/>
  <c r="I240" i="4"/>
  <c r="J233" i="4"/>
  <c r="J238" i="4"/>
  <c r="K238" i="4"/>
  <c r="K237" i="4"/>
  <c r="J237" i="4"/>
  <c r="K235" i="4"/>
  <c r="J235" i="4"/>
  <c r="J236" i="4"/>
  <c r="K236" i="4"/>
  <c r="J234" i="4"/>
  <c r="K234" i="4"/>
  <c r="J239" i="4" l="1"/>
  <c r="B244" i="4" s="1"/>
  <c r="K239" i="4"/>
  <c r="C244" i="4" s="1"/>
  <c r="D248" i="4" l="1"/>
  <c r="E248" i="4" s="1"/>
  <c r="D251" i="4"/>
  <c r="E251" i="4" s="1"/>
  <c r="D249" i="4"/>
  <c r="E249" i="4" s="1"/>
  <c r="D253" i="4"/>
  <c r="E253" i="4" s="1"/>
  <c r="D252" i="4"/>
  <c r="E252" i="4" s="1"/>
  <c r="D250" i="4"/>
  <c r="E250" i="4" s="1"/>
  <c r="G252" i="4" l="1"/>
  <c r="I252" i="4"/>
  <c r="G249" i="4"/>
  <c r="I249" i="4"/>
  <c r="G248" i="4"/>
  <c r="I248" i="4"/>
  <c r="G250" i="4"/>
  <c r="I250" i="4"/>
  <c r="G253" i="4"/>
  <c r="I253" i="4"/>
  <c r="G251" i="4"/>
  <c r="I251" i="4"/>
  <c r="J251" i="4" l="1"/>
  <c r="K251" i="4"/>
  <c r="J253" i="4"/>
  <c r="K253" i="4"/>
  <c r="K250" i="4"/>
  <c r="J250" i="4"/>
  <c r="I254" i="4"/>
  <c r="K248" i="4"/>
  <c r="I255" i="4"/>
  <c r="J248" i="4"/>
  <c r="J249" i="4"/>
  <c r="K249" i="4"/>
  <c r="K252" i="4"/>
  <c r="J252" i="4"/>
  <c r="J254" i="4" l="1"/>
  <c r="B259" i="4" s="1"/>
  <c r="K254" i="4"/>
  <c r="C259" i="4" s="1"/>
  <c r="D265" i="4" l="1"/>
  <c r="E265" i="4" s="1"/>
  <c r="D263" i="4"/>
  <c r="E263" i="4" s="1"/>
  <c r="D266" i="4"/>
  <c r="E266" i="4" s="1"/>
  <c r="D268" i="4"/>
  <c r="E268" i="4" s="1"/>
  <c r="D264" i="4"/>
  <c r="E264" i="4" s="1"/>
  <c r="D267" i="4"/>
  <c r="E267" i="4" s="1"/>
  <c r="G264" i="4" l="1"/>
  <c r="I264" i="4"/>
  <c r="G266" i="4"/>
  <c r="I266" i="4"/>
  <c r="G265" i="4"/>
  <c r="I265" i="4"/>
  <c r="G267" i="4"/>
  <c r="I267" i="4"/>
  <c r="G268" i="4"/>
  <c r="I268" i="4"/>
  <c r="G263" i="4"/>
  <c r="I263" i="4"/>
  <c r="I269" i="4" l="1"/>
  <c r="K263" i="4"/>
  <c r="I270" i="4"/>
  <c r="J263" i="4"/>
  <c r="J268" i="4"/>
  <c r="K268" i="4"/>
  <c r="K267" i="4"/>
  <c r="J267" i="4"/>
  <c r="K265" i="4"/>
  <c r="J265" i="4"/>
  <c r="J266" i="4"/>
  <c r="K266" i="4"/>
  <c r="J264" i="4"/>
  <c r="K264" i="4"/>
  <c r="J269" i="4" l="1"/>
  <c r="B274" i="4" s="1"/>
  <c r="K269" i="4"/>
  <c r="C274" i="4" s="1"/>
  <c r="D278" i="4" l="1"/>
  <c r="E278" i="4" s="1"/>
  <c r="D281" i="4"/>
  <c r="E281" i="4" s="1"/>
  <c r="D279" i="4"/>
  <c r="E279" i="4" s="1"/>
  <c r="D283" i="4"/>
  <c r="E283" i="4" s="1"/>
  <c r="D282" i="4"/>
  <c r="E282" i="4" s="1"/>
  <c r="D280" i="4"/>
  <c r="E280" i="4" s="1"/>
  <c r="G282" i="4" l="1"/>
  <c r="I282" i="4"/>
  <c r="G279" i="4"/>
  <c r="I279" i="4"/>
  <c r="G278" i="4"/>
  <c r="I278" i="4"/>
  <c r="G280" i="4"/>
  <c r="I280" i="4"/>
  <c r="G283" i="4"/>
  <c r="I283" i="4"/>
  <c r="G281" i="4"/>
  <c r="I281" i="4"/>
  <c r="J281" i="4" l="1"/>
  <c r="K281" i="4"/>
  <c r="J283" i="4"/>
  <c r="K283" i="4"/>
  <c r="K280" i="4"/>
  <c r="J280" i="4"/>
  <c r="I284" i="4"/>
  <c r="K278" i="4"/>
  <c r="I285" i="4"/>
  <c r="J278" i="4"/>
  <c r="J279" i="4"/>
  <c r="K279" i="4"/>
  <c r="K282" i="4"/>
  <c r="J282" i="4"/>
  <c r="J284" i="4" l="1"/>
  <c r="B289" i="4" s="1"/>
  <c r="K284" i="4"/>
  <c r="C289" i="4" s="1"/>
  <c r="D295" i="4" l="1"/>
  <c r="E295" i="4" s="1"/>
  <c r="D293" i="4"/>
  <c r="E293" i="4" s="1"/>
  <c r="D296" i="4"/>
  <c r="E296" i="4" s="1"/>
  <c r="D298" i="4"/>
  <c r="E298" i="4" s="1"/>
  <c r="D294" i="4"/>
  <c r="E294" i="4" s="1"/>
  <c r="D297" i="4"/>
  <c r="E297" i="4" s="1"/>
  <c r="G294" i="4" l="1"/>
  <c r="I294" i="4"/>
  <c r="G296" i="4"/>
  <c r="I296" i="4"/>
  <c r="G295" i="4"/>
  <c r="I295" i="4"/>
  <c r="G297" i="4"/>
  <c r="I297" i="4"/>
  <c r="G298" i="4"/>
  <c r="I298" i="4"/>
  <c r="G293" i="4"/>
  <c r="I293" i="4"/>
  <c r="I299" i="4" l="1"/>
  <c r="K293" i="4"/>
  <c r="I300" i="4"/>
  <c r="J293" i="4"/>
  <c r="J298" i="4"/>
  <c r="K298" i="4"/>
  <c r="K297" i="4"/>
  <c r="J297" i="4"/>
  <c r="K295" i="4"/>
  <c r="J295" i="4"/>
  <c r="J296" i="4"/>
  <c r="K296" i="4"/>
  <c r="J294" i="4"/>
  <c r="K294" i="4"/>
  <c r="J299" i="4" l="1"/>
  <c r="B304" i="4" s="1"/>
  <c r="K299" i="4"/>
  <c r="C304" i="4" s="1"/>
  <c r="D308" i="4" l="1"/>
  <c r="E308" i="4" s="1"/>
  <c r="D311" i="4"/>
  <c r="E311" i="4" s="1"/>
  <c r="D309" i="4"/>
  <c r="E309" i="4" s="1"/>
  <c r="D313" i="4"/>
  <c r="E313" i="4" s="1"/>
  <c r="D312" i="4"/>
  <c r="E312" i="4" s="1"/>
  <c r="D310" i="4"/>
  <c r="E310" i="4" s="1"/>
  <c r="G312" i="4" l="1"/>
  <c r="I312" i="4"/>
  <c r="G309" i="4"/>
  <c r="I309" i="4"/>
  <c r="G308" i="4"/>
  <c r="I308" i="4"/>
  <c r="G310" i="4"/>
  <c r="I310" i="4"/>
  <c r="G313" i="4"/>
  <c r="I313" i="4"/>
  <c r="G311" i="4"/>
  <c r="I311" i="4"/>
  <c r="J311" i="4" l="1"/>
  <c r="K311" i="4"/>
  <c r="J313" i="4"/>
  <c r="K313" i="4"/>
  <c r="K310" i="4"/>
  <c r="J310" i="4"/>
  <c r="I314" i="4"/>
  <c r="K308" i="4"/>
  <c r="I315" i="4"/>
  <c r="J308" i="4"/>
  <c r="J309" i="4"/>
  <c r="K309" i="4"/>
  <c r="K312" i="4"/>
  <c r="J312" i="4"/>
  <c r="J314" i="4" l="1"/>
  <c r="B319" i="4" s="1"/>
  <c r="K314" i="4"/>
  <c r="C319" i="4" s="1"/>
  <c r="D325" i="4" l="1"/>
  <c r="E325" i="4" s="1"/>
  <c r="D323" i="4"/>
  <c r="E323" i="4" s="1"/>
  <c r="D326" i="4"/>
  <c r="E326" i="4" s="1"/>
  <c r="D328" i="4"/>
  <c r="E328" i="4" s="1"/>
  <c r="D324" i="4"/>
  <c r="E324" i="4" s="1"/>
  <c r="D327" i="4"/>
  <c r="E327" i="4" s="1"/>
  <c r="G324" i="4" l="1"/>
  <c r="I324" i="4"/>
  <c r="G326" i="4"/>
  <c r="I326" i="4"/>
  <c r="G325" i="4"/>
  <c r="I325" i="4"/>
  <c r="G327" i="4"/>
  <c r="I327" i="4"/>
  <c r="G328" i="4"/>
  <c r="I328" i="4"/>
  <c r="G323" i="4"/>
  <c r="I323" i="4"/>
  <c r="I329" i="4" l="1"/>
  <c r="K323" i="4"/>
  <c r="I330" i="4"/>
  <c r="J323" i="4"/>
  <c r="J328" i="4"/>
  <c r="K328" i="4"/>
  <c r="K327" i="4"/>
  <c r="J327" i="4"/>
  <c r="K325" i="4"/>
  <c r="J325" i="4"/>
  <c r="J326" i="4"/>
  <c r="K326" i="4"/>
  <c r="J324" i="4"/>
  <c r="K324" i="4"/>
  <c r="J329" i="4" l="1"/>
  <c r="B334" i="4" s="1"/>
  <c r="K329" i="4"/>
  <c r="C334" i="4" s="1"/>
  <c r="D338" i="4" l="1"/>
  <c r="E338" i="4" s="1"/>
  <c r="D341" i="4"/>
  <c r="E341" i="4" s="1"/>
  <c r="D339" i="4"/>
  <c r="E339" i="4" s="1"/>
  <c r="D343" i="4"/>
  <c r="E343" i="4" s="1"/>
  <c r="D342" i="4"/>
  <c r="E342" i="4" s="1"/>
  <c r="D340" i="4"/>
  <c r="E340" i="4" s="1"/>
  <c r="G342" i="4" l="1"/>
  <c r="I342" i="4"/>
  <c r="G339" i="4"/>
  <c r="I339" i="4"/>
  <c r="G338" i="4"/>
  <c r="I338" i="4"/>
  <c r="G340" i="4"/>
  <c r="I340" i="4"/>
  <c r="G343" i="4"/>
  <c r="I343" i="4"/>
  <c r="G341" i="4"/>
  <c r="I341" i="4"/>
  <c r="J341" i="4" l="1"/>
  <c r="K341" i="4"/>
  <c r="J343" i="4"/>
  <c r="K343" i="4"/>
  <c r="K340" i="4"/>
  <c r="J340" i="4"/>
  <c r="I344" i="4"/>
  <c r="K338" i="4"/>
  <c r="I345" i="4"/>
  <c r="J338" i="4"/>
  <c r="J339" i="4"/>
  <c r="K339" i="4"/>
  <c r="K342" i="4"/>
  <c r="J342" i="4"/>
  <c r="J344" i="4" l="1"/>
  <c r="B349" i="4" s="1"/>
  <c r="K344" i="4"/>
  <c r="C349" i="4" s="1"/>
  <c r="D355" i="4" l="1"/>
  <c r="E355" i="4" s="1"/>
  <c r="D353" i="4"/>
  <c r="E353" i="4" s="1"/>
  <c r="D356" i="4"/>
  <c r="E356" i="4" s="1"/>
  <c r="D358" i="4"/>
  <c r="E358" i="4" s="1"/>
  <c r="D354" i="4"/>
  <c r="E354" i="4" s="1"/>
  <c r="D357" i="4"/>
  <c r="E357" i="4" s="1"/>
  <c r="G354" i="4" l="1"/>
  <c r="I354" i="4"/>
  <c r="G356" i="4"/>
  <c r="I356" i="4"/>
  <c r="G355" i="4"/>
  <c r="I355" i="4"/>
  <c r="G357" i="4"/>
  <c r="I357" i="4"/>
  <c r="G358" i="4"/>
  <c r="I358" i="4"/>
  <c r="G353" i="4"/>
  <c r="I353" i="4"/>
  <c r="I359" i="4" l="1"/>
  <c r="K353" i="4"/>
  <c r="I360" i="4"/>
  <c r="J353" i="4"/>
  <c r="J358" i="4"/>
  <c r="K358" i="4"/>
  <c r="K357" i="4"/>
  <c r="J357" i="4"/>
  <c r="K355" i="4"/>
  <c r="J355" i="4"/>
  <c r="J356" i="4"/>
  <c r="K356" i="4"/>
  <c r="J354" i="4"/>
  <c r="K354" i="4"/>
  <c r="J359" i="4" l="1"/>
  <c r="B364" i="4" s="1"/>
  <c r="K359" i="4"/>
  <c r="C364" i="4" s="1"/>
  <c r="D368" i="4" l="1"/>
  <c r="E368" i="4" s="1"/>
  <c r="D371" i="4"/>
  <c r="E371" i="4" s="1"/>
  <c r="D369" i="4"/>
  <c r="E369" i="4" s="1"/>
  <c r="D373" i="4"/>
  <c r="E373" i="4" s="1"/>
  <c r="D372" i="4"/>
  <c r="E372" i="4" s="1"/>
  <c r="D370" i="4"/>
  <c r="E370" i="4" s="1"/>
  <c r="G372" i="4" l="1"/>
  <c r="I372" i="4"/>
  <c r="G369" i="4"/>
  <c r="I369" i="4"/>
  <c r="G368" i="4"/>
  <c r="I368" i="4"/>
  <c r="G370" i="4"/>
  <c r="I370" i="4"/>
  <c r="G373" i="4"/>
  <c r="I373" i="4"/>
  <c r="G371" i="4"/>
  <c r="I371" i="4"/>
  <c r="J371" i="4" l="1"/>
  <c r="K371" i="4"/>
  <c r="J373" i="4"/>
  <c r="K373" i="4"/>
  <c r="K370" i="4"/>
  <c r="J370" i="4"/>
  <c r="I374" i="4"/>
  <c r="K368" i="4"/>
  <c r="I375" i="4"/>
  <c r="J368" i="4"/>
  <c r="J369" i="4"/>
  <c r="K369" i="4"/>
  <c r="K372" i="4"/>
  <c r="J372" i="4"/>
  <c r="J374" i="4" l="1"/>
  <c r="B379" i="4" s="1"/>
  <c r="K374" i="4"/>
  <c r="C379" i="4" s="1"/>
  <c r="D388" i="4" l="1"/>
  <c r="E388" i="4" s="1"/>
  <c r="D384" i="4"/>
  <c r="E384" i="4" s="1"/>
  <c r="D387" i="4"/>
  <c r="E387" i="4" s="1"/>
  <c r="D385" i="4"/>
  <c r="E385" i="4" s="1"/>
  <c r="D383" i="4"/>
  <c r="E383" i="4" s="1"/>
  <c r="D386" i="4"/>
  <c r="E386" i="4" s="1"/>
  <c r="G386" i="4" l="1"/>
  <c r="I386" i="4"/>
  <c r="G385" i="4"/>
  <c r="I385" i="4"/>
  <c r="G384" i="4"/>
  <c r="I384" i="4"/>
  <c r="G383" i="4"/>
  <c r="I383" i="4"/>
  <c r="G387" i="4"/>
  <c r="I387" i="4"/>
  <c r="G388" i="4"/>
  <c r="I388" i="4"/>
  <c r="K388" i="4" l="1"/>
  <c r="J388" i="4"/>
  <c r="J387" i="4"/>
  <c r="K387" i="4"/>
  <c r="I390" i="4"/>
  <c r="J383" i="4"/>
  <c r="I389" i="4"/>
  <c r="K383" i="4"/>
  <c r="K384" i="4"/>
  <c r="J384" i="4"/>
  <c r="J385" i="4"/>
  <c r="K385" i="4"/>
  <c r="K386" i="4"/>
  <c r="J386" i="4"/>
  <c r="K389" i="4" l="1"/>
  <c r="C394" i="4" s="1"/>
  <c r="J389" i="4"/>
  <c r="B394" i="4" s="1"/>
  <c r="D403" i="4" l="1"/>
  <c r="E403" i="4" s="1"/>
  <c r="D402" i="4"/>
  <c r="E402" i="4" s="1"/>
  <c r="D398" i="4"/>
  <c r="E398" i="4" s="1"/>
  <c r="D401" i="4"/>
  <c r="E401" i="4" s="1"/>
  <c r="D399" i="4"/>
  <c r="E399" i="4" s="1"/>
  <c r="D400" i="4"/>
  <c r="E400" i="4" s="1"/>
  <c r="G400" i="4" l="1"/>
  <c r="I400" i="4"/>
  <c r="G401" i="4"/>
  <c r="I401" i="4"/>
  <c r="G402" i="4"/>
  <c r="I402" i="4"/>
  <c r="G399" i="4"/>
  <c r="I399" i="4"/>
  <c r="G398" i="4"/>
  <c r="I398" i="4"/>
  <c r="G403" i="4"/>
  <c r="I403" i="4"/>
  <c r="K403" i="4" l="1"/>
  <c r="J403" i="4"/>
  <c r="I405" i="4"/>
  <c r="J398" i="4"/>
  <c r="I404" i="4"/>
  <c r="K398" i="4"/>
  <c r="K399" i="4"/>
  <c r="J399" i="4"/>
  <c r="J402" i="4"/>
  <c r="K402" i="4"/>
  <c r="K401" i="4"/>
  <c r="J401" i="4"/>
  <c r="K400" i="4"/>
  <c r="J400" i="4"/>
  <c r="K404" i="4" l="1"/>
  <c r="C409" i="4" s="1"/>
  <c r="J404" i="4"/>
  <c r="B409" i="4" s="1"/>
  <c r="D418" i="4" l="1"/>
  <c r="E418" i="4" s="1"/>
  <c r="D414" i="4"/>
  <c r="E414" i="4" s="1"/>
  <c r="D417" i="4"/>
  <c r="E417" i="4" s="1"/>
  <c r="D415" i="4"/>
  <c r="E415" i="4" s="1"/>
  <c r="D413" i="4"/>
  <c r="E413" i="4" s="1"/>
  <c r="D416" i="4"/>
  <c r="E416" i="4" s="1"/>
  <c r="G416" i="4" l="1"/>
  <c r="I416" i="4"/>
  <c r="G415" i="4"/>
  <c r="I415" i="4"/>
  <c r="G414" i="4"/>
  <c r="I414" i="4"/>
  <c r="G413" i="4"/>
  <c r="I413" i="4"/>
  <c r="G417" i="4"/>
  <c r="I417" i="4"/>
  <c r="G418" i="4"/>
  <c r="I418" i="4"/>
  <c r="K418" i="4" l="1"/>
  <c r="J418" i="4"/>
  <c r="J417" i="4"/>
  <c r="K417" i="4"/>
  <c r="I420" i="4"/>
  <c r="J413" i="4"/>
  <c r="I419" i="4"/>
  <c r="K413" i="4"/>
  <c r="K414" i="4"/>
  <c r="J414" i="4"/>
  <c r="J415" i="4"/>
  <c r="K415" i="4"/>
  <c r="K416" i="4"/>
  <c r="J416" i="4"/>
  <c r="K419" i="4" l="1"/>
  <c r="C424" i="4" s="1"/>
  <c r="J419" i="4"/>
  <c r="B424" i="4" s="1"/>
  <c r="D433" i="4" l="1"/>
  <c r="E433" i="4" s="1"/>
  <c r="D432" i="4"/>
  <c r="E432" i="4" s="1"/>
  <c r="D430" i="4"/>
  <c r="E430" i="4" s="1"/>
  <c r="D428" i="4"/>
  <c r="E428" i="4" s="1"/>
  <c r="D431" i="4"/>
  <c r="E431" i="4" s="1"/>
  <c r="D429" i="4"/>
  <c r="E429" i="4" s="1"/>
  <c r="G429" i="4" l="1"/>
  <c r="I429" i="4"/>
  <c r="G428" i="4"/>
  <c r="I428" i="4"/>
  <c r="G432" i="4"/>
  <c r="I432" i="4"/>
  <c r="G431" i="4"/>
  <c r="I431" i="4"/>
  <c r="G430" i="4"/>
  <c r="I430" i="4"/>
  <c r="G433" i="4"/>
  <c r="I433" i="4"/>
  <c r="K433" i="4" l="1"/>
  <c r="J433" i="4"/>
  <c r="J430" i="4"/>
  <c r="K430" i="4"/>
  <c r="K431" i="4"/>
  <c r="J431" i="4"/>
  <c r="J432" i="4"/>
  <c r="K432" i="4"/>
  <c r="I435" i="4"/>
  <c r="J428" i="4"/>
  <c r="I434" i="4"/>
  <c r="K428" i="4"/>
  <c r="K429" i="4"/>
  <c r="J429" i="4"/>
  <c r="K434" i="4" l="1"/>
  <c r="C439" i="4" s="1"/>
  <c r="J434" i="4"/>
  <c r="B439" i="4" s="1"/>
  <c r="D448" i="4" l="1"/>
  <c r="E448" i="4" s="1"/>
  <c r="D444" i="4"/>
  <c r="E444" i="4" s="1"/>
  <c r="D447" i="4"/>
  <c r="E447" i="4" s="1"/>
  <c r="D443" i="4"/>
  <c r="E443" i="4" s="1"/>
  <c r="D445" i="4"/>
  <c r="E445" i="4" s="1"/>
  <c r="D446" i="4"/>
  <c r="E446" i="4" s="1"/>
  <c r="G446" i="4" l="1"/>
  <c r="I446" i="4"/>
  <c r="G443" i="4"/>
  <c r="I443" i="4"/>
  <c r="G444" i="4"/>
  <c r="I444" i="4"/>
  <c r="G445" i="4"/>
  <c r="I445" i="4"/>
  <c r="G447" i="4"/>
  <c r="I447" i="4"/>
  <c r="G448" i="4"/>
  <c r="I448" i="4"/>
  <c r="K448" i="4" l="1"/>
  <c r="J448" i="4"/>
  <c r="J447" i="4"/>
  <c r="K447" i="4"/>
  <c r="J445" i="4"/>
  <c r="K445" i="4"/>
  <c r="K444" i="4"/>
  <c r="J444" i="4"/>
  <c r="I450" i="4"/>
  <c r="J443" i="4"/>
  <c r="I449" i="4"/>
  <c r="K443" i="4"/>
  <c r="K446" i="4"/>
  <c r="J446" i="4"/>
  <c r="K449" i="4" l="1"/>
  <c r="C454" i="4" s="1"/>
  <c r="J449" i="4"/>
  <c r="B454" i="4" s="1"/>
  <c r="D463" i="4" l="1"/>
  <c r="E463" i="4" s="1"/>
  <c r="D462" i="4"/>
  <c r="E462" i="4" s="1"/>
  <c r="D460" i="4"/>
  <c r="E460" i="4" s="1"/>
  <c r="D459" i="4"/>
  <c r="E459" i="4" s="1"/>
  <c r="D458" i="4"/>
  <c r="E458" i="4" s="1"/>
  <c r="D461" i="4"/>
  <c r="E461" i="4" s="1"/>
  <c r="G461" i="4" l="1"/>
  <c r="I461" i="4"/>
  <c r="G459" i="4"/>
  <c r="I459" i="4"/>
  <c r="G462" i="4"/>
  <c r="I462" i="4"/>
  <c r="G458" i="4"/>
  <c r="I458" i="4"/>
  <c r="G460" i="4"/>
  <c r="I460" i="4"/>
  <c r="G463" i="4"/>
  <c r="I463" i="4"/>
  <c r="K463" i="4" l="1"/>
  <c r="J463" i="4"/>
  <c r="J460" i="4"/>
  <c r="K460" i="4"/>
  <c r="I465" i="4"/>
  <c r="J458" i="4"/>
  <c r="I464" i="4"/>
  <c r="K458" i="4"/>
  <c r="J462" i="4"/>
  <c r="K462" i="4"/>
  <c r="K459" i="4"/>
  <c r="J459" i="4"/>
  <c r="K461" i="4"/>
  <c r="J461" i="4"/>
  <c r="K464" i="4" l="1"/>
  <c r="C469" i="4" s="1"/>
  <c r="J464" i="4"/>
  <c r="B469" i="4" s="1"/>
  <c r="D478" i="4" l="1"/>
  <c r="E478" i="4" s="1"/>
  <c r="D474" i="4"/>
  <c r="E474" i="4" s="1"/>
  <c r="D477" i="4"/>
  <c r="E477" i="4" s="1"/>
  <c r="D475" i="4"/>
  <c r="E475" i="4" s="1"/>
  <c r="D473" i="4"/>
  <c r="E473" i="4" s="1"/>
  <c r="D476" i="4"/>
  <c r="E476" i="4" s="1"/>
  <c r="G476" i="4" l="1"/>
  <c r="I476" i="4"/>
  <c r="G475" i="4"/>
  <c r="I475" i="4"/>
  <c r="G474" i="4"/>
  <c r="I474" i="4"/>
  <c r="G473" i="4"/>
  <c r="I473" i="4"/>
  <c r="G477" i="4"/>
  <c r="I477" i="4"/>
  <c r="G478" i="4"/>
  <c r="I478" i="4"/>
  <c r="K478" i="4" l="1"/>
  <c r="J478" i="4"/>
  <c r="J477" i="4"/>
  <c r="K477" i="4"/>
  <c r="I480" i="4"/>
  <c r="J473" i="4"/>
  <c r="I479" i="4"/>
  <c r="K473" i="4"/>
  <c r="K474" i="4"/>
  <c r="J474" i="4"/>
  <c r="J475" i="4"/>
  <c r="K475" i="4"/>
  <c r="K476" i="4"/>
  <c r="J476" i="4"/>
  <c r="K479" i="4" l="1"/>
  <c r="C484" i="4" s="1"/>
  <c r="J479" i="4"/>
  <c r="B484" i="4" s="1"/>
  <c r="D488" i="4" l="1"/>
  <c r="E488" i="4" s="1"/>
  <c r="D491" i="4"/>
  <c r="E491" i="4" s="1"/>
  <c r="D489" i="4"/>
  <c r="E489" i="4" s="1"/>
  <c r="D493" i="4"/>
  <c r="E493" i="4" s="1"/>
  <c r="D492" i="4"/>
  <c r="E492" i="4" s="1"/>
  <c r="D490" i="4"/>
  <c r="E490" i="4" s="1"/>
  <c r="G490" i="4" l="1"/>
  <c r="I490" i="4"/>
  <c r="G493" i="4"/>
  <c r="I493" i="4"/>
  <c r="G491" i="4"/>
  <c r="I491" i="4"/>
  <c r="G492" i="4"/>
  <c r="I492" i="4"/>
  <c r="G489" i="4"/>
  <c r="I489" i="4"/>
  <c r="G488" i="4"/>
  <c r="I488" i="4"/>
  <c r="I495" i="4" l="1"/>
  <c r="J488" i="4"/>
  <c r="I494" i="4"/>
  <c r="K488" i="4"/>
  <c r="K489" i="4"/>
  <c r="J489" i="4"/>
  <c r="J492" i="4"/>
  <c r="K492" i="4"/>
  <c r="K491" i="4"/>
  <c r="J491" i="4"/>
  <c r="K493" i="4"/>
  <c r="J493" i="4"/>
  <c r="J490" i="4"/>
  <c r="K490" i="4"/>
  <c r="K494" i="4" l="1"/>
  <c r="C499" i="4" s="1"/>
  <c r="J494" i="4"/>
  <c r="B499" i="4" s="1"/>
  <c r="D508" i="4" l="1"/>
  <c r="E508" i="4" s="1"/>
  <c r="D504" i="4"/>
  <c r="E504" i="4" s="1"/>
  <c r="D507" i="4"/>
  <c r="E507" i="4" s="1"/>
  <c r="D503" i="4"/>
  <c r="E503" i="4" s="1"/>
  <c r="D506" i="4"/>
  <c r="E506" i="4" s="1"/>
  <c r="D505" i="4"/>
  <c r="E505" i="4" s="1"/>
  <c r="G505" i="4" l="1"/>
  <c r="I505" i="4"/>
  <c r="G503" i="4"/>
  <c r="I503" i="4"/>
  <c r="G504" i="4"/>
  <c r="I504" i="4"/>
  <c r="G506" i="4"/>
  <c r="I506" i="4"/>
  <c r="G507" i="4"/>
  <c r="I507" i="4"/>
  <c r="G508" i="4"/>
  <c r="I508" i="4"/>
  <c r="K508" i="4" l="1"/>
  <c r="J508" i="4"/>
  <c r="J507" i="4"/>
  <c r="K507" i="4"/>
  <c r="K506" i="4"/>
  <c r="J506" i="4"/>
  <c r="K504" i="4"/>
  <c r="J504" i="4"/>
  <c r="I510" i="4"/>
  <c r="J503" i="4"/>
  <c r="I509" i="4"/>
  <c r="K503" i="4"/>
  <c r="J505" i="4"/>
  <c r="K505" i="4"/>
  <c r="K509" i="4" l="1"/>
  <c r="C514" i="4" s="1"/>
  <c r="J509" i="4"/>
  <c r="B514" i="4" s="1"/>
  <c r="D523" i="4" l="1"/>
  <c r="E523" i="4" s="1"/>
  <c r="D522" i="4"/>
  <c r="E522" i="4" s="1"/>
  <c r="D520" i="4"/>
  <c r="E520" i="4" s="1"/>
  <c r="D519" i="4"/>
  <c r="E519" i="4" s="1"/>
  <c r="D518" i="4"/>
  <c r="E518" i="4" s="1"/>
  <c r="D521" i="4"/>
  <c r="E521" i="4" s="1"/>
  <c r="G521" i="4" l="1"/>
  <c r="I521" i="4"/>
  <c r="G519" i="4"/>
  <c r="I519" i="4"/>
  <c r="G522" i="4"/>
  <c r="I522" i="4"/>
  <c r="G518" i="4"/>
  <c r="I518" i="4"/>
  <c r="G520" i="4"/>
  <c r="I520" i="4"/>
  <c r="G523" i="4"/>
  <c r="I523" i="4"/>
  <c r="K523" i="4" l="1"/>
  <c r="J523" i="4"/>
  <c r="J520" i="4"/>
  <c r="K520" i="4"/>
  <c r="I525" i="4"/>
  <c r="J518" i="4"/>
  <c r="I524" i="4"/>
  <c r="K518" i="4"/>
  <c r="J522" i="4"/>
  <c r="K522" i="4"/>
  <c r="K519" i="4"/>
  <c r="J519" i="4"/>
  <c r="K521" i="4"/>
  <c r="J521" i="4"/>
  <c r="K524" i="4" l="1"/>
  <c r="C529" i="4" s="1"/>
  <c r="J524" i="4"/>
  <c r="B529" i="4" s="1"/>
  <c r="D538" i="4" l="1"/>
  <c r="E538" i="4" s="1"/>
  <c r="D534" i="4"/>
  <c r="E534" i="4" s="1"/>
  <c r="D537" i="4"/>
  <c r="E537" i="4" s="1"/>
  <c r="D536" i="4"/>
  <c r="E536" i="4" s="1"/>
  <c r="D535" i="4"/>
  <c r="E535" i="4" s="1"/>
  <c r="D533" i="4"/>
  <c r="E533" i="4" s="1"/>
  <c r="G533" i="4" l="1"/>
  <c r="I533" i="4"/>
  <c r="G536" i="4"/>
  <c r="I536" i="4"/>
  <c r="G534" i="4"/>
  <c r="I534" i="4"/>
  <c r="G535" i="4"/>
  <c r="I535" i="4"/>
  <c r="G537" i="4"/>
  <c r="I537" i="4"/>
  <c r="G538" i="4"/>
  <c r="I538" i="4"/>
  <c r="K538" i="4" l="1"/>
  <c r="J538" i="4"/>
  <c r="J537" i="4"/>
  <c r="K537" i="4"/>
  <c r="J535" i="4"/>
  <c r="K535" i="4"/>
  <c r="K534" i="4"/>
  <c r="J534" i="4"/>
  <c r="K536" i="4"/>
  <c r="J536" i="4"/>
  <c r="I540" i="4"/>
  <c r="J533" i="4"/>
  <c r="K533" i="4"/>
  <c r="I539" i="4"/>
  <c r="K539" i="4" l="1"/>
  <c r="C544" i="4" s="1"/>
  <c r="J539" i="4"/>
  <c r="B544" i="4" s="1"/>
  <c r="D548" i="4" l="1"/>
  <c r="E548" i="4" s="1"/>
  <c r="D551" i="4"/>
  <c r="E551" i="4" s="1"/>
  <c r="D549" i="4"/>
  <c r="E549" i="4" s="1"/>
  <c r="D553" i="4"/>
  <c r="E553" i="4" s="1"/>
  <c r="D552" i="4"/>
  <c r="E552" i="4" s="1"/>
  <c r="D550" i="4"/>
  <c r="E550" i="4" s="1"/>
  <c r="G552" i="4" l="1"/>
  <c r="I552" i="4"/>
  <c r="G549" i="4"/>
  <c r="I549" i="4"/>
  <c r="G548" i="4"/>
  <c r="I548" i="4"/>
  <c r="G550" i="4"/>
  <c r="I550" i="4"/>
  <c r="G553" i="4"/>
  <c r="I553" i="4"/>
  <c r="G551" i="4"/>
  <c r="I551" i="4"/>
  <c r="J551" i="4" l="1"/>
  <c r="K551" i="4"/>
  <c r="J553" i="4"/>
  <c r="K553" i="4"/>
  <c r="K550" i="4"/>
  <c r="J550" i="4"/>
  <c r="I554" i="4"/>
  <c r="K548" i="4"/>
  <c r="I555" i="4"/>
  <c r="J548" i="4"/>
  <c r="J549" i="4"/>
  <c r="K549" i="4"/>
  <c r="K552" i="4"/>
  <c r="J552" i="4"/>
  <c r="J554" i="4" l="1"/>
  <c r="B559" i="4" s="1"/>
  <c r="K554" i="4"/>
  <c r="C559" i="4" s="1"/>
  <c r="D565" i="4" l="1"/>
  <c r="E565" i="4" s="1"/>
  <c r="D563" i="4"/>
  <c r="E563" i="4" s="1"/>
  <c r="D566" i="4"/>
  <c r="E566" i="4" s="1"/>
  <c r="D568" i="4"/>
  <c r="E568" i="4" s="1"/>
  <c r="D564" i="4"/>
  <c r="E564" i="4" s="1"/>
  <c r="D567" i="4"/>
  <c r="E567" i="4" s="1"/>
  <c r="G564" i="4" l="1"/>
  <c r="I564" i="4"/>
  <c r="G566" i="4"/>
  <c r="I566" i="4"/>
  <c r="G565" i="4"/>
  <c r="I565" i="4"/>
  <c r="G567" i="4"/>
  <c r="I567" i="4"/>
  <c r="G568" i="4"/>
  <c r="I568" i="4"/>
  <c r="G563" i="4"/>
  <c r="I563" i="4"/>
  <c r="I569" i="4" l="1"/>
  <c r="K563" i="4"/>
  <c r="I570" i="4"/>
  <c r="J563" i="4"/>
  <c r="J568" i="4"/>
  <c r="K568" i="4"/>
  <c r="K567" i="4"/>
  <c r="J567" i="4"/>
  <c r="K565" i="4"/>
  <c r="J565" i="4"/>
  <c r="J566" i="4"/>
  <c r="K566" i="4"/>
  <c r="J564" i="4"/>
  <c r="K564" i="4"/>
  <c r="J569" i="4" l="1"/>
  <c r="B574" i="4" s="1"/>
  <c r="K569" i="4"/>
  <c r="C574" i="4" s="1"/>
  <c r="D578" i="4" l="1"/>
  <c r="E578" i="4" s="1"/>
  <c r="D581" i="4"/>
  <c r="E581" i="4" s="1"/>
  <c r="D579" i="4"/>
  <c r="E579" i="4" s="1"/>
  <c r="D583" i="4"/>
  <c r="E583" i="4" s="1"/>
  <c r="D582" i="4"/>
  <c r="E582" i="4" s="1"/>
  <c r="D580" i="4"/>
  <c r="E580" i="4" s="1"/>
  <c r="G582" i="4" l="1"/>
  <c r="I582" i="4"/>
  <c r="G579" i="4"/>
  <c r="I579" i="4"/>
  <c r="G578" i="4"/>
  <c r="I578" i="4"/>
  <c r="G580" i="4"/>
  <c r="I580" i="4"/>
  <c r="G583" i="4"/>
  <c r="I583" i="4"/>
  <c r="G581" i="4"/>
  <c r="I581" i="4"/>
  <c r="J581" i="4" l="1"/>
  <c r="K581" i="4"/>
  <c r="J583" i="4"/>
  <c r="K583" i="4"/>
  <c r="K580" i="4"/>
  <c r="J580" i="4"/>
  <c r="I584" i="4"/>
  <c r="K578" i="4"/>
  <c r="I585" i="4"/>
  <c r="J578" i="4"/>
  <c r="J579" i="4"/>
  <c r="K579" i="4"/>
  <c r="K582" i="4"/>
  <c r="J582" i="4"/>
  <c r="J584" i="4" l="1"/>
  <c r="B589" i="4" s="1"/>
  <c r="K584" i="4"/>
  <c r="C589" i="4" s="1"/>
  <c r="D595" i="4" l="1"/>
  <c r="E595" i="4" s="1"/>
  <c r="D593" i="4"/>
  <c r="E593" i="4" s="1"/>
  <c r="D596" i="4"/>
  <c r="E596" i="4" s="1"/>
  <c r="D598" i="4"/>
  <c r="E598" i="4" s="1"/>
  <c r="D594" i="4"/>
  <c r="E594" i="4" s="1"/>
  <c r="D597" i="4"/>
  <c r="E597" i="4" s="1"/>
  <c r="G594" i="4" l="1"/>
  <c r="I594" i="4"/>
  <c r="G596" i="4"/>
  <c r="I596" i="4"/>
  <c r="G595" i="4"/>
  <c r="I595" i="4"/>
  <c r="G597" i="4"/>
  <c r="I597" i="4"/>
  <c r="G598" i="4"/>
  <c r="I598" i="4"/>
  <c r="G593" i="4"/>
  <c r="I593" i="4"/>
  <c r="I599" i="4" l="1"/>
  <c r="K593" i="4"/>
  <c r="I600" i="4"/>
  <c r="J593" i="4"/>
  <c r="J598" i="4"/>
  <c r="K598" i="4"/>
  <c r="K597" i="4"/>
  <c r="J597" i="4"/>
  <c r="K595" i="4"/>
  <c r="J595" i="4"/>
  <c r="J596" i="4"/>
  <c r="K596" i="4"/>
  <c r="J594" i="4"/>
  <c r="K594" i="4"/>
  <c r="J599" i="4" l="1"/>
  <c r="B604" i="4" s="1"/>
  <c r="K599" i="4"/>
  <c r="C604" i="4" s="1"/>
  <c r="D608" i="4" l="1"/>
  <c r="E608" i="4" s="1"/>
  <c r="D611" i="4"/>
  <c r="E611" i="4" s="1"/>
  <c r="D609" i="4"/>
  <c r="E609" i="4" s="1"/>
  <c r="D613" i="4"/>
  <c r="E613" i="4" s="1"/>
  <c r="D612" i="4"/>
  <c r="E612" i="4" s="1"/>
  <c r="D610" i="4"/>
  <c r="E610" i="4" s="1"/>
  <c r="G612" i="4" l="1"/>
  <c r="I612" i="4"/>
  <c r="G609" i="4"/>
  <c r="I609" i="4"/>
  <c r="G608" i="4"/>
  <c r="I608" i="4"/>
  <c r="G610" i="4"/>
  <c r="I610" i="4"/>
  <c r="G613" i="4"/>
  <c r="I613" i="4"/>
  <c r="G611" i="4"/>
  <c r="I611" i="4"/>
  <c r="J611" i="4" l="1"/>
  <c r="K611" i="4"/>
  <c r="J613" i="4"/>
  <c r="K613" i="4"/>
  <c r="K610" i="4"/>
  <c r="J610" i="4"/>
  <c r="I614" i="4"/>
  <c r="K608" i="4"/>
  <c r="I615" i="4"/>
  <c r="J608" i="4"/>
  <c r="J609" i="4"/>
  <c r="K609" i="4"/>
  <c r="K612" i="4"/>
  <c r="J612" i="4"/>
  <c r="J614" i="4" l="1"/>
  <c r="B619" i="4" s="1"/>
  <c r="K614" i="4"/>
  <c r="C619" i="4" s="1"/>
  <c r="D625" i="4" l="1"/>
  <c r="E625" i="4" s="1"/>
  <c r="D623" i="4"/>
  <c r="E623" i="4" s="1"/>
  <c r="D626" i="4"/>
  <c r="E626" i="4" s="1"/>
  <c r="D628" i="4"/>
  <c r="E628" i="4" s="1"/>
  <c r="D624" i="4"/>
  <c r="E624" i="4" s="1"/>
  <c r="D627" i="4"/>
  <c r="E627" i="4" s="1"/>
  <c r="G624" i="4" l="1"/>
  <c r="I624" i="4"/>
  <c r="G626" i="4"/>
  <c r="I626" i="4"/>
  <c r="G625" i="4"/>
  <c r="I625" i="4"/>
  <c r="G627" i="4"/>
  <c r="I627" i="4"/>
  <c r="G628" i="4"/>
  <c r="I628" i="4"/>
  <c r="G623" i="4"/>
  <c r="I623" i="4"/>
  <c r="I629" i="4" l="1"/>
  <c r="K623" i="4"/>
  <c r="I630" i="4"/>
  <c r="J623" i="4"/>
  <c r="J628" i="4"/>
  <c r="K628" i="4"/>
  <c r="K627" i="4"/>
  <c r="J627" i="4"/>
  <c r="K625" i="4"/>
  <c r="J625" i="4"/>
  <c r="J626" i="4"/>
  <c r="K626" i="4"/>
  <c r="J624" i="4"/>
  <c r="K624" i="4"/>
  <c r="J629" i="4" l="1"/>
  <c r="B634" i="4" s="1"/>
  <c r="K629" i="4"/>
  <c r="C634" i="4" s="1"/>
  <c r="D638" i="4" l="1"/>
  <c r="E638" i="4" s="1"/>
  <c r="D641" i="4"/>
  <c r="E641" i="4" s="1"/>
  <c r="D639" i="4"/>
  <c r="E639" i="4" s="1"/>
  <c r="D643" i="4"/>
  <c r="E643" i="4" s="1"/>
  <c r="D642" i="4"/>
  <c r="E642" i="4" s="1"/>
  <c r="D640" i="4"/>
  <c r="E640" i="4" s="1"/>
  <c r="G642" i="4" l="1"/>
  <c r="I642" i="4"/>
  <c r="G639" i="4"/>
  <c r="I639" i="4"/>
  <c r="G638" i="4"/>
  <c r="I638" i="4"/>
  <c r="G640" i="4"/>
  <c r="I640" i="4"/>
  <c r="G643" i="4"/>
  <c r="I643" i="4"/>
  <c r="G641" i="4"/>
  <c r="I641" i="4"/>
  <c r="J641" i="4" l="1"/>
  <c r="K641" i="4"/>
  <c r="J643" i="4"/>
  <c r="K643" i="4"/>
  <c r="K640" i="4"/>
  <c r="J640" i="4"/>
  <c r="I644" i="4"/>
  <c r="K638" i="4"/>
  <c r="I645" i="4"/>
  <c r="J638" i="4"/>
  <c r="J639" i="4"/>
  <c r="K639" i="4"/>
  <c r="K642" i="4"/>
  <c r="J642" i="4"/>
  <c r="J644" i="4" l="1"/>
  <c r="B649" i="4" s="1"/>
  <c r="K644" i="4"/>
  <c r="C649" i="4" s="1"/>
  <c r="D655" i="4" l="1"/>
  <c r="E655" i="4" s="1"/>
  <c r="D653" i="4"/>
  <c r="E653" i="4" s="1"/>
  <c r="D656" i="4"/>
  <c r="E656" i="4" s="1"/>
  <c r="D658" i="4"/>
  <c r="E658" i="4" s="1"/>
  <c r="D654" i="4"/>
  <c r="E654" i="4" s="1"/>
  <c r="D657" i="4"/>
  <c r="E657" i="4" s="1"/>
  <c r="G654" i="4" l="1"/>
  <c r="I654" i="4"/>
  <c r="G656" i="4"/>
  <c r="I656" i="4"/>
  <c r="G655" i="4"/>
  <c r="I655" i="4"/>
  <c r="G657" i="4"/>
  <c r="I657" i="4"/>
  <c r="G658" i="4"/>
  <c r="I658" i="4"/>
  <c r="G653" i="4"/>
  <c r="I653" i="4"/>
  <c r="I659" i="4" l="1"/>
  <c r="K653" i="4"/>
  <c r="I660" i="4"/>
  <c r="J653" i="4"/>
  <c r="J658" i="4"/>
  <c r="K658" i="4"/>
  <c r="K657" i="4"/>
  <c r="J657" i="4"/>
  <c r="K655" i="4"/>
  <c r="J655" i="4"/>
  <c r="J656" i="4"/>
  <c r="K656" i="4"/>
  <c r="J654" i="4"/>
  <c r="K654" i="4"/>
  <c r="J659" i="4" l="1"/>
  <c r="B664" i="4" s="1"/>
  <c r="K659" i="4"/>
  <c r="C664" i="4" s="1"/>
  <c r="D668" i="4" l="1"/>
  <c r="E668" i="4" s="1"/>
  <c r="D671" i="4"/>
  <c r="E671" i="4" s="1"/>
  <c r="D669" i="4"/>
  <c r="E669" i="4" s="1"/>
  <c r="D673" i="4"/>
  <c r="E673" i="4" s="1"/>
  <c r="D672" i="4"/>
  <c r="E672" i="4" s="1"/>
  <c r="D670" i="4"/>
  <c r="E670" i="4" s="1"/>
  <c r="G672" i="4" l="1"/>
  <c r="I672" i="4"/>
  <c r="G669" i="4"/>
  <c r="I669" i="4"/>
  <c r="G668" i="4"/>
  <c r="I668" i="4"/>
  <c r="G670" i="4"/>
  <c r="I670" i="4"/>
  <c r="G673" i="4"/>
  <c r="I673" i="4"/>
  <c r="G671" i="4"/>
  <c r="I671" i="4"/>
  <c r="J671" i="4" l="1"/>
  <c r="K671" i="4"/>
  <c r="J673" i="4"/>
  <c r="K673" i="4"/>
  <c r="K670" i="4"/>
  <c r="J670" i="4"/>
  <c r="I674" i="4"/>
  <c r="K668" i="4"/>
  <c r="I675" i="4"/>
  <c r="J668" i="4"/>
  <c r="J669" i="4"/>
  <c r="K669" i="4"/>
  <c r="K672" i="4"/>
  <c r="J672" i="4"/>
  <c r="J674" i="4" l="1"/>
  <c r="B679" i="4" s="1"/>
  <c r="K674" i="4"/>
  <c r="C679" i="4" s="1"/>
  <c r="D685" i="4" l="1"/>
  <c r="E685" i="4" s="1"/>
  <c r="D683" i="4"/>
  <c r="E683" i="4" s="1"/>
  <c r="D686" i="4"/>
  <c r="E686" i="4" s="1"/>
  <c r="D688" i="4"/>
  <c r="E688" i="4" s="1"/>
  <c r="D684" i="4"/>
  <c r="E684" i="4" s="1"/>
  <c r="D687" i="4"/>
  <c r="E687" i="4" s="1"/>
  <c r="G684" i="4" l="1"/>
  <c r="I684" i="4"/>
  <c r="G686" i="4"/>
  <c r="I686" i="4"/>
  <c r="G685" i="4"/>
  <c r="I685" i="4"/>
  <c r="G687" i="4"/>
  <c r="I687" i="4"/>
  <c r="G688" i="4"/>
  <c r="I688" i="4"/>
  <c r="G683" i="4"/>
  <c r="I683" i="4"/>
  <c r="I689" i="4" l="1"/>
  <c r="K683" i="4"/>
  <c r="I690" i="4"/>
  <c r="J683" i="4"/>
  <c r="J688" i="4"/>
  <c r="K688" i="4"/>
  <c r="K687" i="4"/>
  <c r="J687" i="4"/>
  <c r="K685" i="4"/>
  <c r="J685" i="4"/>
  <c r="J686" i="4"/>
  <c r="K686" i="4"/>
  <c r="J684" i="4"/>
  <c r="K684" i="4"/>
  <c r="J689" i="4" l="1"/>
  <c r="B694" i="4" s="1"/>
  <c r="K689" i="4"/>
  <c r="C694" i="4" s="1"/>
  <c r="D698" i="4" l="1"/>
  <c r="E698" i="4" s="1"/>
  <c r="D701" i="4"/>
  <c r="E701" i="4" s="1"/>
  <c r="D699" i="4"/>
  <c r="E699" i="4" s="1"/>
  <c r="D703" i="4"/>
  <c r="E703" i="4" s="1"/>
  <c r="D702" i="4"/>
  <c r="E702" i="4" s="1"/>
  <c r="D700" i="4"/>
  <c r="E700" i="4" s="1"/>
  <c r="G702" i="4" l="1"/>
  <c r="I702" i="4"/>
  <c r="G699" i="4"/>
  <c r="I699" i="4"/>
  <c r="G698" i="4"/>
  <c r="I698" i="4"/>
  <c r="G700" i="4"/>
  <c r="I700" i="4"/>
  <c r="G703" i="4"/>
  <c r="I703" i="4"/>
  <c r="G701" i="4"/>
  <c r="I701" i="4"/>
  <c r="J701" i="4" l="1"/>
  <c r="K701" i="4"/>
  <c r="J703" i="4"/>
  <c r="K703" i="4"/>
  <c r="K700" i="4"/>
  <c r="J700" i="4"/>
  <c r="I704" i="4"/>
  <c r="K698" i="4"/>
  <c r="I705" i="4"/>
  <c r="J698" i="4"/>
  <c r="J699" i="4"/>
  <c r="K699" i="4"/>
  <c r="K702" i="4"/>
  <c r="J702" i="4"/>
  <c r="J704" i="4" l="1"/>
  <c r="B709" i="4" s="1"/>
  <c r="K704" i="4"/>
  <c r="C709" i="4" s="1"/>
  <c r="D715" i="4" l="1"/>
  <c r="E715" i="4" s="1"/>
  <c r="D713" i="4"/>
  <c r="E713" i="4" s="1"/>
  <c r="D716" i="4"/>
  <c r="E716" i="4" s="1"/>
  <c r="D718" i="4"/>
  <c r="E718" i="4" s="1"/>
  <c r="D714" i="4"/>
  <c r="E714" i="4" s="1"/>
  <c r="D717" i="4"/>
  <c r="E717" i="4" s="1"/>
  <c r="G714" i="4" l="1"/>
  <c r="I714" i="4"/>
  <c r="G716" i="4"/>
  <c r="I716" i="4"/>
  <c r="G715" i="4"/>
  <c r="I715" i="4"/>
  <c r="G717" i="4"/>
  <c r="I717" i="4"/>
  <c r="G718" i="4"/>
  <c r="I718" i="4"/>
  <c r="G713" i="4"/>
  <c r="I713" i="4"/>
  <c r="I719" i="4" l="1"/>
  <c r="K713" i="4"/>
  <c r="I720" i="4"/>
  <c r="J713" i="4"/>
  <c r="J718" i="4"/>
  <c r="K718" i="4"/>
  <c r="K717" i="4"/>
  <c r="J717" i="4"/>
  <c r="K715" i="4"/>
  <c r="J715" i="4"/>
  <c r="J716" i="4"/>
  <c r="K716" i="4"/>
  <c r="J714" i="4"/>
  <c r="K714" i="4"/>
  <c r="J719" i="4" l="1"/>
  <c r="B724" i="4" s="1"/>
  <c r="K719" i="4"/>
  <c r="C724" i="4" s="1"/>
  <c r="D728" i="4" l="1"/>
  <c r="E728" i="4" s="1"/>
  <c r="D731" i="4"/>
  <c r="E731" i="4" s="1"/>
  <c r="D729" i="4"/>
  <c r="E729" i="4" s="1"/>
  <c r="D733" i="4"/>
  <c r="E733" i="4" s="1"/>
  <c r="D732" i="4"/>
  <c r="E732" i="4" s="1"/>
  <c r="D730" i="4"/>
  <c r="E730" i="4" s="1"/>
  <c r="G732" i="4" l="1"/>
  <c r="I732" i="4"/>
  <c r="G729" i="4"/>
  <c r="I729" i="4"/>
  <c r="G728" i="4"/>
  <c r="I728" i="4"/>
  <c r="G730" i="4"/>
  <c r="I730" i="4"/>
  <c r="G733" i="4"/>
  <c r="I733" i="4"/>
  <c r="G731" i="4"/>
  <c r="I731" i="4"/>
  <c r="J731" i="4" l="1"/>
  <c r="K731" i="4"/>
  <c r="J733" i="4"/>
  <c r="K733" i="4"/>
  <c r="K730" i="4"/>
  <c r="J730" i="4"/>
  <c r="I734" i="4"/>
  <c r="K728" i="4"/>
  <c r="I735" i="4"/>
  <c r="J728" i="4"/>
  <c r="J729" i="4"/>
  <c r="K729" i="4"/>
  <c r="K732" i="4"/>
  <c r="J732" i="4"/>
  <c r="J734" i="4" l="1"/>
  <c r="B739" i="4" s="1"/>
  <c r="K734" i="4"/>
  <c r="C739" i="4" s="1"/>
  <c r="D745" i="4" l="1"/>
  <c r="E745" i="4" s="1"/>
  <c r="D743" i="4"/>
  <c r="E743" i="4" s="1"/>
  <c r="D746" i="4"/>
  <c r="E746" i="4" s="1"/>
  <c r="D748" i="4"/>
  <c r="E748" i="4" s="1"/>
  <c r="D744" i="4"/>
  <c r="E744" i="4" s="1"/>
  <c r="D747" i="4"/>
  <c r="E747" i="4" s="1"/>
  <c r="G744" i="4" l="1"/>
  <c r="I744" i="4"/>
  <c r="G746" i="4"/>
  <c r="I746" i="4"/>
  <c r="G745" i="4"/>
  <c r="I745" i="4"/>
  <c r="G747" i="4"/>
  <c r="I747" i="4"/>
  <c r="G748" i="4"/>
  <c r="I748" i="4"/>
  <c r="G743" i="4"/>
  <c r="I743" i="4"/>
  <c r="I749" i="4" l="1"/>
  <c r="K743" i="4"/>
  <c r="I750" i="4"/>
  <c r="J743" i="4"/>
  <c r="J748" i="4"/>
  <c r="K748" i="4"/>
  <c r="K747" i="4"/>
  <c r="J747" i="4"/>
  <c r="K745" i="4"/>
  <c r="J745" i="4"/>
  <c r="J746" i="4"/>
  <c r="K746" i="4"/>
  <c r="J744" i="4"/>
  <c r="K744" i="4"/>
  <c r="J749" i="4" l="1"/>
  <c r="B754" i="4" s="1"/>
  <c r="K749" i="4"/>
  <c r="C754" i="4" s="1"/>
  <c r="D758" i="4" l="1"/>
  <c r="E758" i="4" s="1"/>
  <c r="D761" i="4"/>
  <c r="E761" i="4" s="1"/>
  <c r="D759" i="4"/>
  <c r="E759" i="4" s="1"/>
  <c r="D763" i="4"/>
  <c r="E763" i="4" s="1"/>
  <c r="D762" i="4"/>
  <c r="E762" i="4" s="1"/>
  <c r="D760" i="4"/>
  <c r="E760" i="4" s="1"/>
  <c r="G762" i="4" l="1"/>
  <c r="I762" i="4"/>
  <c r="G759" i="4"/>
  <c r="I759" i="4"/>
  <c r="G758" i="4"/>
  <c r="I758" i="4"/>
  <c r="G760" i="4"/>
  <c r="I760" i="4"/>
  <c r="G763" i="4"/>
  <c r="I763" i="4"/>
  <c r="G761" i="4"/>
  <c r="I761" i="4"/>
  <c r="J761" i="4" l="1"/>
  <c r="K761" i="4"/>
  <c r="J763" i="4"/>
  <c r="K763" i="4"/>
  <c r="K760" i="4"/>
  <c r="J760" i="4"/>
  <c r="I764" i="4"/>
  <c r="K758" i="4"/>
  <c r="I765" i="4"/>
  <c r="J758" i="4"/>
  <c r="J759" i="4"/>
  <c r="K759" i="4"/>
  <c r="K762" i="4"/>
  <c r="J762" i="4"/>
  <c r="J764" i="4" l="1"/>
  <c r="B769" i="4" s="1"/>
  <c r="K764" i="4"/>
  <c r="C769" i="4" s="1"/>
  <c r="D775" i="4" l="1"/>
  <c r="E775" i="4" s="1"/>
  <c r="D773" i="4"/>
  <c r="E773" i="4" s="1"/>
  <c r="D776" i="4"/>
  <c r="E776" i="4" s="1"/>
  <c r="D778" i="4"/>
  <c r="E778" i="4" s="1"/>
  <c r="D774" i="4"/>
  <c r="E774" i="4" s="1"/>
  <c r="D777" i="4"/>
  <c r="E777" i="4" s="1"/>
  <c r="G777" i="4" l="1"/>
  <c r="I777" i="4"/>
  <c r="G778" i="4"/>
  <c r="I778" i="4"/>
  <c r="G773" i="4"/>
  <c r="I773" i="4"/>
  <c r="G774" i="4"/>
  <c r="I774" i="4"/>
  <c r="G776" i="4"/>
  <c r="I776" i="4"/>
  <c r="G775" i="4"/>
  <c r="I775" i="4"/>
  <c r="J775" i="4" l="1"/>
  <c r="K775" i="4"/>
  <c r="K776" i="4"/>
  <c r="J776" i="4"/>
  <c r="K774" i="4"/>
  <c r="J774" i="4"/>
  <c r="I780" i="4"/>
  <c r="J773" i="4"/>
  <c r="I779" i="4"/>
  <c r="K773" i="4"/>
  <c r="K778" i="4"/>
  <c r="J778" i="4"/>
  <c r="J777" i="4"/>
  <c r="K777" i="4"/>
  <c r="K779" i="4" l="1"/>
  <c r="C784" i="4" s="1"/>
  <c r="J779" i="4"/>
  <c r="B784" i="4" s="1"/>
  <c r="D793" i="4" l="1"/>
  <c r="E793" i="4" s="1"/>
  <c r="D792" i="4"/>
  <c r="E792" i="4" s="1"/>
  <c r="D790" i="4"/>
  <c r="E790" i="4" s="1"/>
  <c r="D788" i="4"/>
  <c r="E788" i="4" s="1"/>
  <c r="D791" i="4"/>
  <c r="E791" i="4" s="1"/>
  <c r="D789" i="4"/>
  <c r="E789" i="4" s="1"/>
  <c r="G789" i="4" l="1"/>
  <c r="I789" i="4"/>
  <c r="G788" i="4"/>
  <c r="I788" i="4"/>
  <c r="G792" i="4"/>
  <c r="I792" i="4"/>
  <c r="G791" i="4"/>
  <c r="I791" i="4"/>
  <c r="G790" i="4"/>
  <c r="I790" i="4"/>
  <c r="G793" i="4"/>
  <c r="I793" i="4"/>
  <c r="K793" i="4" l="1"/>
  <c r="J793" i="4"/>
  <c r="J790" i="4"/>
  <c r="K790" i="4"/>
  <c r="K791" i="4"/>
  <c r="J791" i="4"/>
  <c r="J792" i="4"/>
  <c r="K792" i="4"/>
  <c r="I795" i="4"/>
  <c r="J788" i="4"/>
  <c r="I794" i="4"/>
  <c r="K788" i="4"/>
  <c r="K789" i="4"/>
  <c r="J789" i="4"/>
  <c r="K794" i="4" l="1"/>
  <c r="C799" i="4" s="1"/>
  <c r="J794" i="4"/>
  <c r="B799" i="4" s="1"/>
  <c r="D808" i="4" l="1"/>
  <c r="E808" i="4" s="1"/>
  <c r="D804" i="4"/>
  <c r="E804" i="4" s="1"/>
  <c r="D807" i="4"/>
  <c r="E807" i="4" s="1"/>
  <c r="D805" i="4"/>
  <c r="E805" i="4" s="1"/>
  <c r="D803" i="4"/>
  <c r="E803" i="4" s="1"/>
  <c r="D806" i="4"/>
  <c r="E806" i="4" s="1"/>
  <c r="G806" i="4" l="1"/>
  <c r="I806" i="4"/>
  <c r="G805" i="4"/>
  <c r="I805" i="4"/>
  <c r="G804" i="4"/>
  <c r="I804" i="4"/>
  <c r="G803" i="4"/>
  <c r="I803" i="4"/>
  <c r="G807" i="4"/>
  <c r="I807" i="4"/>
  <c r="G808" i="4"/>
  <c r="I808" i="4"/>
  <c r="K808" i="4" l="1"/>
  <c r="J808" i="4"/>
  <c r="J807" i="4"/>
  <c r="K807" i="4"/>
  <c r="I810" i="4"/>
  <c r="J803" i="4"/>
  <c r="I809" i="4"/>
  <c r="K803" i="4"/>
  <c r="K804" i="4"/>
  <c r="J804" i="4"/>
  <c r="J805" i="4"/>
  <c r="K805" i="4"/>
  <c r="K806" i="4"/>
  <c r="J806" i="4"/>
  <c r="K809" i="4" l="1"/>
  <c r="C814" i="4" s="1"/>
  <c r="J809" i="4"/>
  <c r="B814" i="4" s="1"/>
  <c r="D823" i="4" l="1"/>
  <c r="E823" i="4" s="1"/>
  <c r="D822" i="4"/>
  <c r="E822" i="4" s="1"/>
  <c r="D820" i="4"/>
  <c r="E820" i="4" s="1"/>
  <c r="D818" i="4"/>
  <c r="E818" i="4" s="1"/>
  <c r="D821" i="4"/>
  <c r="E821" i="4" s="1"/>
  <c r="D819" i="4"/>
  <c r="E819" i="4" s="1"/>
  <c r="G819" i="4" l="1"/>
  <c r="I819" i="4"/>
  <c r="G818" i="4"/>
  <c r="I818" i="4"/>
  <c r="G822" i="4"/>
  <c r="I822" i="4"/>
  <c r="G821" i="4"/>
  <c r="I821" i="4"/>
  <c r="G820" i="4"/>
  <c r="I820" i="4"/>
  <c r="G823" i="4"/>
  <c r="I823" i="4"/>
  <c r="K823" i="4" l="1"/>
  <c r="J823" i="4"/>
  <c r="J820" i="4"/>
  <c r="K820" i="4"/>
  <c r="K821" i="4"/>
  <c r="J821" i="4"/>
  <c r="K822" i="4"/>
  <c r="J822" i="4"/>
  <c r="I825" i="4"/>
  <c r="J818" i="4"/>
  <c r="I824" i="4"/>
  <c r="K818" i="4"/>
  <c r="K819" i="4"/>
  <c r="J819" i="4"/>
  <c r="K824" i="4" l="1"/>
  <c r="C829" i="4" s="1"/>
  <c r="J824" i="4"/>
  <c r="B829" i="4" s="1"/>
  <c r="D838" i="4" l="1"/>
  <c r="E838" i="4" s="1"/>
  <c r="D834" i="4"/>
  <c r="E834" i="4" s="1"/>
  <c r="D837" i="4"/>
  <c r="E837" i="4" s="1"/>
  <c r="D835" i="4"/>
  <c r="E835" i="4" s="1"/>
  <c r="D833" i="4"/>
  <c r="E833" i="4" s="1"/>
  <c r="D836" i="4"/>
  <c r="E836" i="4" s="1"/>
  <c r="G836" i="4" l="1"/>
  <c r="I836" i="4"/>
  <c r="G835" i="4"/>
  <c r="I835" i="4"/>
  <c r="G834" i="4"/>
  <c r="I834" i="4"/>
  <c r="G833" i="4"/>
  <c r="I833" i="4"/>
  <c r="G837" i="4"/>
  <c r="I837" i="4"/>
  <c r="G838" i="4"/>
  <c r="I838" i="4"/>
  <c r="K838" i="4" l="1"/>
  <c r="J838" i="4"/>
  <c r="J837" i="4"/>
  <c r="K837" i="4"/>
  <c r="I840" i="4"/>
  <c r="J833" i="4"/>
  <c r="I839" i="4"/>
  <c r="K833" i="4"/>
  <c r="J834" i="4"/>
  <c r="K834" i="4"/>
  <c r="J835" i="4"/>
  <c r="K835" i="4"/>
  <c r="K836" i="4"/>
  <c r="J836" i="4"/>
  <c r="K839" i="4" l="1"/>
  <c r="C844" i="4" s="1"/>
  <c r="J839" i="4"/>
  <c r="B844" i="4" s="1"/>
  <c r="D853" i="4" l="1"/>
  <c r="E853" i="4" s="1"/>
  <c r="D852" i="4"/>
  <c r="E852" i="4" s="1"/>
  <c r="D850" i="4"/>
  <c r="E850" i="4" s="1"/>
  <c r="D848" i="4"/>
  <c r="E848" i="4" s="1"/>
  <c r="D851" i="4"/>
  <c r="E851" i="4" s="1"/>
  <c r="D849" i="4"/>
  <c r="E849" i="4" s="1"/>
  <c r="G849" i="4" l="1"/>
  <c r="I849" i="4"/>
  <c r="G848" i="4"/>
  <c r="I848" i="4"/>
  <c r="G852" i="4"/>
  <c r="I852" i="4"/>
  <c r="G851" i="4"/>
  <c r="I851" i="4"/>
  <c r="G850" i="4"/>
  <c r="I850" i="4"/>
  <c r="G853" i="4"/>
  <c r="I853" i="4"/>
  <c r="K853" i="4" l="1"/>
  <c r="J853" i="4"/>
  <c r="K850" i="4"/>
  <c r="J850" i="4"/>
  <c r="K851" i="4"/>
  <c r="J851" i="4"/>
  <c r="J852" i="4"/>
  <c r="K852" i="4"/>
  <c r="I855" i="4"/>
  <c r="J848" i="4"/>
  <c r="I854" i="4"/>
  <c r="K848" i="4"/>
  <c r="J849" i="4"/>
  <c r="K849" i="4"/>
  <c r="K854" i="4" l="1"/>
  <c r="C859" i="4" s="1"/>
  <c r="J854" i="4"/>
  <c r="B859" i="4" s="1"/>
  <c r="D868" i="4" l="1"/>
  <c r="E868" i="4" s="1"/>
  <c r="D864" i="4"/>
  <c r="E864" i="4" s="1"/>
  <c r="D867" i="4"/>
  <c r="E867" i="4" s="1"/>
  <c r="D865" i="4"/>
  <c r="E865" i="4" s="1"/>
  <c r="D863" i="4"/>
  <c r="E863" i="4" s="1"/>
  <c r="D866" i="4"/>
  <c r="E866" i="4" s="1"/>
  <c r="G866" i="4" l="1"/>
  <c r="I866" i="4"/>
  <c r="G865" i="4"/>
  <c r="I865" i="4"/>
  <c r="G864" i="4"/>
  <c r="I864" i="4"/>
  <c r="G863" i="4"/>
  <c r="I863" i="4"/>
  <c r="G867" i="4"/>
  <c r="I867" i="4"/>
  <c r="G868" i="4"/>
  <c r="I868" i="4"/>
  <c r="K868" i="4" l="1"/>
  <c r="J868" i="4"/>
  <c r="K867" i="4"/>
  <c r="J867" i="4"/>
  <c r="I870" i="4"/>
  <c r="J863" i="4"/>
  <c r="I869" i="4"/>
  <c r="K863" i="4"/>
  <c r="K864" i="4"/>
  <c r="J864" i="4"/>
  <c r="J865" i="4"/>
  <c r="K865" i="4"/>
  <c r="K866" i="4"/>
  <c r="J866" i="4"/>
  <c r="K869" i="4" l="1"/>
  <c r="C874" i="4" s="1"/>
  <c r="J869" i="4"/>
  <c r="B874" i="4" s="1"/>
  <c r="D883" i="4" l="1"/>
  <c r="E883" i="4" s="1"/>
  <c r="D882" i="4"/>
  <c r="E882" i="4" s="1"/>
  <c r="D880" i="4"/>
  <c r="E880" i="4" s="1"/>
  <c r="D878" i="4"/>
  <c r="E878" i="4" s="1"/>
  <c r="D881" i="4"/>
  <c r="E881" i="4" s="1"/>
  <c r="D879" i="4"/>
  <c r="E879" i="4" s="1"/>
  <c r="G879" i="4" l="1"/>
  <c r="I879" i="4"/>
  <c r="G878" i="4"/>
  <c r="I878" i="4"/>
  <c r="G882" i="4"/>
  <c r="I882" i="4"/>
  <c r="G881" i="4"/>
  <c r="I881" i="4"/>
  <c r="G880" i="4"/>
  <c r="I880" i="4"/>
  <c r="G883" i="4"/>
  <c r="I883" i="4"/>
  <c r="K883" i="4" l="1"/>
  <c r="J883" i="4"/>
  <c r="J880" i="4"/>
  <c r="K880" i="4"/>
  <c r="J881" i="4"/>
  <c r="K881" i="4"/>
  <c r="K882" i="4"/>
  <c r="J882" i="4"/>
  <c r="I885" i="4"/>
  <c r="J878" i="4"/>
  <c r="I884" i="4"/>
  <c r="K878" i="4"/>
  <c r="K879" i="4"/>
  <c r="J879" i="4"/>
  <c r="K884" i="4" l="1"/>
  <c r="C889" i="4" s="1"/>
  <c r="J884" i="4"/>
  <c r="B889" i="4" s="1"/>
  <c r="D898" i="4" l="1"/>
  <c r="E898" i="4" s="1"/>
  <c r="D894" i="4"/>
  <c r="E894" i="4" s="1"/>
  <c r="D897" i="4"/>
  <c r="E897" i="4" s="1"/>
  <c r="D895" i="4"/>
  <c r="E895" i="4" s="1"/>
  <c r="D893" i="4"/>
  <c r="E893" i="4" s="1"/>
  <c r="D896" i="4"/>
  <c r="E896" i="4" s="1"/>
  <c r="G896" i="4" l="1"/>
  <c r="I896" i="4"/>
  <c r="G895" i="4"/>
  <c r="I895" i="4"/>
  <c r="G894" i="4"/>
  <c r="I894" i="4"/>
  <c r="G893" i="4"/>
  <c r="I893" i="4"/>
  <c r="G897" i="4"/>
  <c r="I897" i="4"/>
  <c r="G898" i="4"/>
  <c r="I898" i="4"/>
  <c r="K898" i="4" l="1"/>
  <c r="J898" i="4"/>
  <c r="J897" i="4"/>
  <c r="K897" i="4"/>
  <c r="I900" i="4"/>
  <c r="J893" i="4"/>
  <c r="I899" i="4"/>
  <c r="K893" i="4"/>
  <c r="K894" i="4"/>
  <c r="J894" i="4"/>
  <c r="J895" i="4"/>
  <c r="K895" i="4"/>
  <c r="K896" i="4"/>
  <c r="J896" i="4"/>
  <c r="K899" i="4" l="1"/>
  <c r="C904" i="4" s="1"/>
  <c r="J899" i="4"/>
  <c r="B904" i="4" s="1"/>
  <c r="D913" i="4" l="1"/>
  <c r="E913" i="4" s="1"/>
  <c r="D912" i="4"/>
  <c r="E912" i="4" s="1"/>
  <c r="D910" i="4"/>
  <c r="E910" i="4" s="1"/>
  <c r="D908" i="4"/>
  <c r="E908" i="4" s="1"/>
  <c r="D911" i="4"/>
  <c r="E911" i="4" s="1"/>
  <c r="D909" i="4"/>
  <c r="E909" i="4" s="1"/>
  <c r="G909" i="4" l="1"/>
  <c r="I909" i="4"/>
  <c r="G908" i="4"/>
  <c r="I908" i="4"/>
  <c r="G912" i="4"/>
  <c r="I912" i="4"/>
  <c r="G911" i="4"/>
  <c r="I911" i="4"/>
  <c r="G910" i="4"/>
  <c r="I910" i="4"/>
  <c r="G913" i="4"/>
  <c r="I913" i="4"/>
  <c r="K913" i="4" l="1"/>
  <c r="J913" i="4"/>
  <c r="J910" i="4"/>
  <c r="K910" i="4"/>
  <c r="K911" i="4"/>
  <c r="J911" i="4"/>
  <c r="J912" i="4"/>
  <c r="K912" i="4"/>
  <c r="I915" i="4"/>
  <c r="J908" i="4"/>
  <c r="I914" i="4"/>
  <c r="K908" i="4"/>
  <c r="K909" i="4"/>
  <c r="J909" i="4"/>
  <c r="K914" i="4" l="1"/>
  <c r="C919" i="4" s="1"/>
  <c r="J914" i="4"/>
  <c r="B919" i="4" s="1"/>
  <c r="D928" i="4" l="1"/>
  <c r="E928" i="4" s="1"/>
  <c r="D924" i="4"/>
  <c r="E924" i="4" s="1"/>
  <c r="D927" i="4"/>
  <c r="E927" i="4" s="1"/>
  <c r="D925" i="4"/>
  <c r="E925" i="4" s="1"/>
  <c r="D923" i="4"/>
  <c r="E923" i="4" s="1"/>
  <c r="D926" i="4"/>
  <c r="E926" i="4" s="1"/>
  <c r="G926" i="4" l="1"/>
  <c r="I926" i="4"/>
  <c r="G925" i="4"/>
  <c r="I925" i="4"/>
  <c r="G924" i="4"/>
  <c r="I924" i="4"/>
  <c r="G923" i="4"/>
  <c r="I923" i="4"/>
  <c r="G927" i="4"/>
  <c r="I927" i="4"/>
  <c r="G928" i="4"/>
  <c r="I928" i="4"/>
  <c r="K928" i="4" l="1"/>
  <c r="J928" i="4"/>
  <c r="J927" i="4"/>
  <c r="K927" i="4"/>
  <c r="I930" i="4"/>
  <c r="J923" i="4"/>
  <c r="I929" i="4"/>
  <c r="K923" i="4"/>
  <c r="K924" i="4"/>
  <c r="J924" i="4"/>
  <c r="J925" i="4"/>
  <c r="K925" i="4"/>
  <c r="K926" i="4"/>
  <c r="J926" i="4"/>
  <c r="K929" i="4" l="1"/>
  <c r="C934" i="4" s="1"/>
  <c r="J929" i="4"/>
  <c r="B934" i="4" s="1"/>
  <c r="D943" i="4" l="1"/>
  <c r="E943" i="4" s="1"/>
  <c r="D942" i="4"/>
  <c r="E942" i="4" s="1"/>
  <c r="D940" i="4"/>
  <c r="E940" i="4" s="1"/>
  <c r="D938" i="4"/>
  <c r="E938" i="4" s="1"/>
  <c r="D941" i="4"/>
  <c r="E941" i="4" s="1"/>
  <c r="D939" i="4"/>
  <c r="E939" i="4" s="1"/>
  <c r="G939" i="4" l="1"/>
  <c r="I939" i="4"/>
  <c r="G938" i="4"/>
  <c r="I938" i="4"/>
  <c r="G942" i="4"/>
  <c r="I942" i="4"/>
  <c r="G941" i="4"/>
  <c r="I941" i="4"/>
  <c r="G940" i="4"/>
  <c r="I940" i="4"/>
  <c r="G943" i="4"/>
  <c r="I943" i="4"/>
  <c r="K943" i="4" l="1"/>
  <c r="J943" i="4"/>
  <c r="K940" i="4"/>
  <c r="J940" i="4"/>
  <c r="K941" i="4"/>
  <c r="J941" i="4"/>
  <c r="J942" i="4"/>
  <c r="K942" i="4"/>
  <c r="I945" i="4"/>
  <c r="J938" i="4"/>
  <c r="I944" i="4"/>
  <c r="K938" i="4"/>
  <c r="J939" i="4"/>
  <c r="K939" i="4"/>
  <c r="K944" i="4" l="1"/>
  <c r="C949" i="4" s="1"/>
  <c r="J944" i="4"/>
  <c r="B949" i="4" s="1"/>
  <c r="D958" i="4" l="1"/>
  <c r="E958" i="4" s="1"/>
  <c r="D954" i="4"/>
  <c r="E954" i="4" s="1"/>
  <c r="D957" i="4"/>
  <c r="E957" i="4" s="1"/>
  <c r="D955" i="4"/>
  <c r="E955" i="4" s="1"/>
  <c r="D953" i="4"/>
  <c r="E953" i="4" s="1"/>
  <c r="D956" i="4"/>
  <c r="E956" i="4" s="1"/>
  <c r="G956" i="4" l="1"/>
  <c r="I956" i="4"/>
  <c r="G955" i="4"/>
  <c r="I955" i="4"/>
  <c r="G954" i="4"/>
  <c r="I954" i="4"/>
  <c r="G953" i="4"/>
  <c r="I953" i="4"/>
  <c r="G957" i="4"/>
  <c r="I957" i="4"/>
  <c r="G958" i="4"/>
  <c r="I958" i="4"/>
  <c r="K958" i="4" l="1"/>
  <c r="J958" i="4"/>
  <c r="J957" i="4"/>
  <c r="K957" i="4"/>
  <c r="I960" i="4"/>
  <c r="J953" i="4"/>
  <c r="I959" i="4"/>
  <c r="K953" i="4"/>
  <c r="J954" i="4"/>
  <c r="K954" i="4"/>
  <c r="J955" i="4"/>
  <c r="K955" i="4"/>
  <c r="J956" i="4"/>
  <c r="K956" i="4"/>
  <c r="K959" i="4" l="1"/>
  <c r="C964" i="4" s="1"/>
  <c r="J959" i="4"/>
  <c r="B964" i="4" s="1"/>
  <c r="D973" i="4" l="1"/>
  <c r="E973" i="4" s="1"/>
  <c r="D972" i="4"/>
  <c r="E972" i="4" s="1"/>
  <c r="D970" i="4"/>
  <c r="E970" i="4" s="1"/>
  <c r="D968" i="4"/>
  <c r="E968" i="4" s="1"/>
  <c r="D971" i="4"/>
  <c r="E971" i="4" s="1"/>
  <c r="D969" i="4"/>
  <c r="E969" i="4" s="1"/>
  <c r="G969" i="4" l="1"/>
  <c r="I969" i="4"/>
  <c r="G968" i="4"/>
  <c r="I968" i="4"/>
  <c r="G972" i="4"/>
  <c r="I972" i="4"/>
  <c r="G971" i="4"/>
  <c r="I971" i="4"/>
  <c r="G970" i="4"/>
  <c r="I970" i="4"/>
  <c r="G973" i="4"/>
  <c r="I973" i="4"/>
  <c r="K973" i="4" l="1"/>
  <c r="J973" i="4"/>
  <c r="K970" i="4"/>
  <c r="J970" i="4"/>
  <c r="K971" i="4"/>
  <c r="J971" i="4"/>
  <c r="J972" i="4"/>
  <c r="K972" i="4"/>
  <c r="I975" i="4"/>
  <c r="J968" i="4"/>
  <c r="I974" i="4"/>
  <c r="K968" i="4"/>
  <c r="J969" i="4"/>
  <c r="K969" i="4"/>
  <c r="K974" i="4" l="1"/>
  <c r="C979" i="4" s="1"/>
  <c r="J974" i="4"/>
  <c r="B979" i="4" s="1"/>
  <c r="D988" i="4" l="1"/>
  <c r="E988" i="4" s="1"/>
  <c r="D984" i="4"/>
  <c r="E984" i="4" s="1"/>
  <c r="D987" i="4"/>
  <c r="E987" i="4" s="1"/>
  <c r="D985" i="4"/>
  <c r="E985" i="4" s="1"/>
  <c r="D983" i="4"/>
  <c r="E983" i="4" s="1"/>
  <c r="D986" i="4"/>
  <c r="E986" i="4" s="1"/>
  <c r="G986" i="4" l="1"/>
  <c r="I986" i="4"/>
  <c r="G985" i="4"/>
  <c r="I985" i="4"/>
  <c r="G984" i="4"/>
  <c r="I984" i="4"/>
  <c r="G983" i="4"/>
  <c r="I983" i="4"/>
  <c r="G987" i="4"/>
  <c r="I987" i="4"/>
  <c r="G988" i="4"/>
  <c r="I988" i="4"/>
  <c r="K988" i="4" l="1"/>
  <c r="J988" i="4"/>
  <c r="K987" i="4"/>
  <c r="J987" i="4"/>
  <c r="I990" i="4"/>
  <c r="J983" i="4"/>
  <c r="I989" i="4"/>
  <c r="K983" i="4"/>
  <c r="K984" i="4"/>
  <c r="J984" i="4"/>
  <c r="J985" i="4"/>
  <c r="K985" i="4"/>
  <c r="J986" i="4"/>
  <c r="K986" i="4"/>
  <c r="K989" i="4" l="1"/>
  <c r="C994" i="4" s="1"/>
  <c r="J989" i="4"/>
  <c r="B994" i="4" s="1"/>
  <c r="D1003" i="4" l="1"/>
  <c r="E1003" i="4" s="1"/>
  <c r="D1002" i="4"/>
  <c r="E1002" i="4" s="1"/>
  <c r="D1000" i="4"/>
  <c r="E1000" i="4" s="1"/>
  <c r="D998" i="4"/>
  <c r="E998" i="4" s="1"/>
  <c r="D1001" i="4"/>
  <c r="E1001" i="4" s="1"/>
  <c r="D999" i="4"/>
  <c r="E999" i="4" s="1"/>
  <c r="G999" i="4" l="1"/>
  <c r="I999" i="4"/>
  <c r="G998" i="4"/>
  <c r="I998" i="4"/>
  <c r="G1002" i="4"/>
  <c r="I1002" i="4"/>
  <c r="G1001" i="4"/>
  <c r="I1001" i="4"/>
  <c r="G1000" i="4"/>
  <c r="I1000" i="4"/>
  <c r="G1003" i="4"/>
  <c r="I1003" i="4"/>
  <c r="K1003" i="4" l="1"/>
  <c r="J1003" i="4"/>
  <c r="K1001" i="4"/>
  <c r="J1001" i="4"/>
  <c r="I1005" i="4"/>
  <c r="J998" i="4"/>
  <c r="I1004" i="4"/>
  <c r="K998" i="4"/>
  <c r="K999" i="4"/>
  <c r="J999" i="4"/>
  <c r="J1000" i="4"/>
  <c r="K1000" i="4"/>
  <c r="J1002" i="4"/>
  <c r="K1002" i="4"/>
  <c r="K1004" i="4" l="1"/>
  <c r="C1009" i="4" s="1"/>
  <c r="J1004" i="4"/>
  <c r="B1009" i="4" s="1"/>
  <c r="D1018" i="4" l="1"/>
  <c r="E1018" i="4" s="1"/>
  <c r="D1014" i="4"/>
  <c r="E1014" i="4" s="1"/>
  <c r="D1017" i="4"/>
  <c r="E1017" i="4" s="1"/>
  <c r="D1015" i="4"/>
  <c r="E1015" i="4" s="1"/>
  <c r="D1013" i="4"/>
  <c r="E1013" i="4" s="1"/>
  <c r="D1016" i="4"/>
  <c r="E1016" i="4" s="1"/>
  <c r="G1016" i="4" l="1"/>
  <c r="I1016" i="4"/>
  <c r="G1015" i="4"/>
  <c r="I1015" i="4"/>
  <c r="G1014" i="4"/>
  <c r="I1014" i="4"/>
  <c r="G1013" i="4"/>
  <c r="I1013" i="4"/>
  <c r="G1017" i="4"/>
  <c r="I1017" i="4"/>
  <c r="G1018" i="4"/>
  <c r="I1018" i="4"/>
  <c r="K1018" i="4" l="1"/>
  <c r="J1018" i="4"/>
  <c r="K1017" i="4"/>
  <c r="J1017" i="4"/>
  <c r="I1020" i="4"/>
  <c r="J1013" i="4"/>
  <c r="I1019" i="4"/>
  <c r="K1013" i="4"/>
  <c r="K1014" i="4"/>
  <c r="J1014" i="4"/>
  <c r="J1015" i="4"/>
  <c r="K1015" i="4"/>
  <c r="J1016" i="4"/>
  <c r="K1016" i="4"/>
  <c r="K1019" i="4" l="1"/>
  <c r="C1024" i="4" s="1"/>
  <c r="J1019" i="4"/>
  <c r="B1024" i="4" s="1"/>
  <c r="D1033" i="4" l="1"/>
  <c r="E1033" i="4" s="1"/>
  <c r="D1032" i="4"/>
  <c r="E1032" i="4" s="1"/>
  <c r="D1030" i="4"/>
  <c r="E1030" i="4" s="1"/>
  <c r="D1028" i="4"/>
  <c r="E1028" i="4" s="1"/>
  <c r="D1031" i="4"/>
  <c r="E1031" i="4" s="1"/>
  <c r="D1029" i="4"/>
  <c r="E1029" i="4" s="1"/>
  <c r="G1029" i="4" l="1"/>
  <c r="I1029" i="4"/>
  <c r="G1028" i="4"/>
  <c r="I1028" i="4"/>
  <c r="G1032" i="4"/>
  <c r="I1032" i="4"/>
  <c r="G1031" i="4"/>
  <c r="I1031" i="4"/>
  <c r="G1030" i="4"/>
  <c r="I1030" i="4"/>
  <c r="G1033" i="4"/>
  <c r="I1033" i="4"/>
  <c r="K1033" i="4" l="1"/>
  <c r="J1033" i="4"/>
  <c r="J1030" i="4"/>
  <c r="K1030" i="4"/>
  <c r="J1031" i="4"/>
  <c r="K1031" i="4"/>
  <c r="K1032" i="4"/>
  <c r="J1032" i="4"/>
  <c r="I1035" i="4"/>
  <c r="J1028" i="4"/>
  <c r="I1034" i="4"/>
  <c r="K1028" i="4"/>
  <c r="K1029" i="4"/>
  <c r="J1029" i="4"/>
  <c r="K1034" i="4" l="1"/>
  <c r="C1039" i="4" s="1"/>
  <c r="J1034" i="4"/>
  <c r="B1039" i="4" s="1"/>
  <c r="D1048" i="4" l="1"/>
  <c r="E1048" i="4" s="1"/>
  <c r="D1044" i="4"/>
  <c r="E1044" i="4" s="1"/>
  <c r="D1047" i="4"/>
  <c r="E1047" i="4" s="1"/>
  <c r="D1045" i="4"/>
  <c r="E1045" i="4" s="1"/>
  <c r="D1043" i="4"/>
  <c r="E1043" i="4" s="1"/>
  <c r="D1046" i="4"/>
  <c r="E1046" i="4" s="1"/>
  <c r="G1046" i="4" l="1"/>
  <c r="I1046" i="4"/>
  <c r="G1045" i="4"/>
  <c r="I1045" i="4"/>
  <c r="G1044" i="4"/>
  <c r="I1044" i="4"/>
  <c r="G1043" i="4"/>
  <c r="I1043" i="4"/>
  <c r="G1047" i="4"/>
  <c r="I1047" i="4"/>
  <c r="G1048" i="4"/>
  <c r="I1048" i="4"/>
  <c r="K1048" i="4" l="1"/>
  <c r="J1048" i="4"/>
  <c r="J1047" i="4"/>
  <c r="K1047" i="4"/>
  <c r="I1050" i="4"/>
  <c r="I1049" i="4"/>
  <c r="K1043" i="4"/>
  <c r="J1043" i="4"/>
  <c r="J1044" i="4"/>
  <c r="K1044" i="4"/>
  <c r="J1045" i="4"/>
  <c r="K1045" i="4"/>
  <c r="K1046" i="4"/>
  <c r="J1046" i="4"/>
  <c r="J1049" i="4" l="1"/>
  <c r="B1054" i="4" s="1"/>
  <c r="K1049" i="4"/>
  <c r="C1054" i="4" s="1"/>
  <c r="D1063" i="4" l="1"/>
  <c r="E1063" i="4" s="1"/>
  <c r="D1062" i="4"/>
  <c r="E1062" i="4" s="1"/>
  <c r="D1058" i="4"/>
  <c r="E1058" i="4" s="1"/>
  <c r="D1061" i="4"/>
  <c r="E1061" i="4" s="1"/>
  <c r="D1059" i="4"/>
  <c r="E1059" i="4" s="1"/>
  <c r="D1060" i="4"/>
  <c r="E1060" i="4" s="1"/>
  <c r="G1060" i="4" l="1"/>
  <c r="I1060" i="4"/>
  <c r="G1061" i="4"/>
  <c r="I1061" i="4"/>
  <c r="G1062" i="4"/>
  <c r="I1062" i="4"/>
  <c r="G1059" i="4"/>
  <c r="I1059" i="4"/>
  <c r="G1058" i="4"/>
  <c r="I1058" i="4"/>
  <c r="G1063" i="4"/>
  <c r="I1063" i="4"/>
  <c r="K1063" i="4" l="1"/>
  <c r="J1063" i="4"/>
  <c r="I1065" i="4"/>
  <c r="J1058" i="4"/>
  <c r="I1064" i="4"/>
  <c r="K1058" i="4"/>
  <c r="J1059" i="4"/>
  <c r="K1059" i="4"/>
  <c r="J1062" i="4"/>
  <c r="K1062" i="4"/>
  <c r="K1061" i="4"/>
  <c r="J1061" i="4"/>
  <c r="K1060" i="4"/>
  <c r="J1060" i="4"/>
  <c r="K1064" i="4" l="1"/>
  <c r="C1069" i="4" s="1"/>
  <c r="J1064" i="4"/>
  <c r="B1069" i="4" s="1"/>
  <c r="D1078" i="4" l="1"/>
  <c r="E1078" i="4" s="1"/>
  <c r="D1074" i="4"/>
  <c r="E1074" i="4" s="1"/>
  <c r="D1075" i="4"/>
  <c r="E1075" i="4" s="1"/>
  <c r="D1073" i="4"/>
  <c r="E1073" i="4" s="1"/>
  <c r="D1076" i="4"/>
  <c r="E1076" i="4" s="1"/>
  <c r="D1077" i="4"/>
  <c r="E1077" i="4" s="1"/>
  <c r="G1077" i="4" l="1"/>
  <c r="I1077" i="4"/>
  <c r="G1073" i="4"/>
  <c r="I1073" i="4"/>
  <c r="G1074" i="4"/>
  <c r="I1074" i="4"/>
  <c r="G1076" i="4"/>
  <c r="I1076" i="4"/>
  <c r="G1075" i="4"/>
  <c r="I1075" i="4"/>
  <c r="G1078" i="4"/>
  <c r="I1078" i="4"/>
  <c r="K1078" i="4" l="1"/>
  <c r="J1078" i="4"/>
  <c r="J1075" i="4"/>
  <c r="K1075" i="4"/>
  <c r="K1076" i="4"/>
  <c r="J1076" i="4"/>
  <c r="K1074" i="4"/>
  <c r="J1074" i="4"/>
  <c r="J1073" i="4"/>
  <c r="I1079" i="4"/>
  <c r="K1073" i="4"/>
  <c r="I1080" i="4"/>
  <c r="J1077" i="4"/>
  <c r="K1077" i="4"/>
  <c r="K1079" i="4" l="1"/>
  <c r="C1084" i="4" s="1"/>
  <c r="J1079" i="4"/>
  <c r="B1084" i="4" s="1"/>
  <c r="D1092" i="4" l="1"/>
  <c r="E1092" i="4" s="1"/>
  <c r="D1088" i="4"/>
  <c r="E1088" i="4" s="1"/>
  <c r="G1088" i="4" s="1"/>
  <c r="D1089" i="4"/>
  <c r="E1089" i="4" s="1"/>
  <c r="G1089" i="4" s="1"/>
  <c r="D1090" i="4"/>
  <c r="E1090" i="4" s="1"/>
  <c r="I1090" i="4" s="1"/>
  <c r="J1090" i="4" s="1"/>
  <c r="D1091" i="4"/>
  <c r="E1091" i="4" s="1"/>
  <c r="G1091" i="4" s="1"/>
  <c r="D1093" i="4"/>
  <c r="E1093" i="4" s="1"/>
  <c r="G1093" i="4" s="1"/>
  <c r="I1091" i="4"/>
  <c r="I1089" i="4" l="1"/>
  <c r="K1089" i="4" s="1"/>
  <c r="I1093" i="4"/>
  <c r="J1093" i="4" s="1"/>
  <c r="G1090" i="4"/>
  <c r="I1088" i="4"/>
  <c r="K1088" i="4" s="1"/>
  <c r="G1092" i="4"/>
  <c r="I1092" i="4"/>
  <c r="K1090" i="4"/>
  <c r="K1091" i="4"/>
  <c r="J1091" i="4"/>
  <c r="J1088" i="4" l="1"/>
  <c r="K1093" i="4"/>
  <c r="I1095" i="4"/>
  <c r="J1089" i="4"/>
  <c r="I1094" i="4"/>
  <c r="K1092" i="4"/>
  <c r="J1092" i="4"/>
  <c r="K1094" i="4"/>
  <c r="C1099" i="4" s="1"/>
  <c r="J1094" i="4" l="1"/>
  <c r="B1099" i="4" s="1"/>
  <c r="D1105" i="4" s="1"/>
  <c r="E1105" i="4" s="1"/>
  <c r="G1105" i="4" s="1"/>
  <c r="D1108" i="4" l="1"/>
  <c r="E1108" i="4" s="1"/>
  <c r="G1108" i="4" s="1"/>
  <c r="D1104" i="4"/>
  <c r="E1104" i="4" s="1"/>
  <c r="I1104" i="4" s="1"/>
  <c r="J1104" i="4" s="1"/>
  <c r="D1107" i="4"/>
  <c r="E1107" i="4" s="1"/>
  <c r="G1107" i="4" s="1"/>
  <c r="D1106" i="4"/>
  <c r="E1106" i="4" s="1"/>
  <c r="G1106" i="4" s="1"/>
  <c r="D1103" i="4"/>
  <c r="E1103" i="4" s="1"/>
  <c r="G1103" i="4" s="1"/>
  <c r="I1105" i="4"/>
  <c r="J1105" i="4" s="1"/>
  <c r="I1108" i="4"/>
  <c r="J1108" i="4" s="1"/>
  <c r="I1103" i="4" l="1"/>
  <c r="J1103" i="4" s="1"/>
  <c r="G1104" i="4"/>
  <c r="I1107" i="4"/>
  <c r="K1107" i="4" s="1"/>
  <c r="I1106" i="4"/>
  <c r="K1106" i="4" s="1"/>
  <c r="K1105" i="4"/>
  <c r="K1104" i="4"/>
  <c r="K1103" i="4"/>
  <c r="K1108" i="4"/>
  <c r="J1107" i="4" l="1"/>
  <c r="J1106" i="4"/>
  <c r="I1110" i="4"/>
  <c r="I1109" i="4"/>
  <c r="K1109" i="4"/>
  <c r="C1114" i="4" s="1"/>
  <c r="J1109" i="4"/>
  <c r="B1114" i="4" s="1"/>
  <c r="D1122" i="4" l="1"/>
  <c r="E1122" i="4" s="1"/>
  <c r="G1122" i="4" s="1"/>
  <c r="D1119" i="4"/>
  <c r="E1119" i="4" s="1"/>
  <c r="G1119" i="4" s="1"/>
  <c r="D1118" i="4"/>
  <c r="E1118" i="4" s="1"/>
  <c r="D1120" i="4"/>
  <c r="E1120" i="4" s="1"/>
  <c r="I1122" i="4"/>
  <c r="J1122" i="4" s="1"/>
  <c r="D1123" i="4"/>
  <c r="E1123" i="4" s="1"/>
  <c r="D1121" i="4"/>
  <c r="E1121" i="4" s="1"/>
  <c r="I1119" i="4" l="1"/>
  <c r="J1119" i="4" s="1"/>
  <c r="I1120" i="4"/>
  <c r="J1120" i="4" s="1"/>
  <c r="G1120" i="4"/>
  <c r="I1121" i="4"/>
  <c r="K1121" i="4" s="1"/>
  <c r="G1121" i="4"/>
  <c r="I1118" i="4"/>
  <c r="K1118" i="4" s="1"/>
  <c r="G1118" i="4"/>
  <c r="I1123" i="4"/>
  <c r="J1123" i="4" s="1"/>
  <c r="G1123" i="4"/>
  <c r="K1120" i="4"/>
  <c r="K1119" i="4"/>
  <c r="K1122" i="4"/>
  <c r="J1118" i="4" l="1"/>
  <c r="J1121" i="4"/>
  <c r="K1123" i="4"/>
  <c r="K1124" i="4" s="1"/>
  <c r="C1129" i="4" s="1"/>
  <c r="I1124" i="4"/>
  <c r="I1125" i="4"/>
  <c r="J1124" i="4" l="1"/>
  <c r="B1129" i="4" s="1"/>
  <c r="D1138" i="4" s="1"/>
  <c r="E1138" i="4" s="1"/>
  <c r="G1138" i="4" s="1"/>
  <c r="D1133" i="4" l="1"/>
  <c r="E1133" i="4" s="1"/>
  <c r="G1133" i="4" s="1"/>
  <c r="D1135" i="4"/>
  <c r="E1135" i="4" s="1"/>
  <c r="I1135" i="4" s="1"/>
  <c r="J1135" i="4" s="1"/>
  <c r="D1134" i="4"/>
  <c r="E1134" i="4" s="1"/>
  <c r="G1134" i="4" s="1"/>
  <c r="D1136" i="4"/>
  <c r="E1136" i="4" s="1"/>
  <c r="I1136" i="4" s="1"/>
  <c r="D1137" i="4"/>
  <c r="E1137" i="4" s="1"/>
  <c r="G1137" i="4" s="1"/>
  <c r="I1138" i="4"/>
  <c r="J1138" i="4" s="1"/>
  <c r="I1134" i="4" l="1"/>
  <c r="K1134" i="4" s="1"/>
  <c r="I1133" i="4"/>
  <c r="K1133" i="4" s="1"/>
  <c r="K1138" i="4"/>
  <c r="J1134" i="4"/>
  <c r="G1135" i="4"/>
  <c r="J1133" i="4"/>
  <c r="G1136" i="4"/>
  <c r="I1137" i="4"/>
  <c r="I1140" i="4" s="1"/>
  <c r="K1135" i="4"/>
  <c r="K1136" i="4"/>
  <c r="J1136" i="4"/>
  <c r="K1137" i="4" l="1"/>
  <c r="J1137" i="4"/>
  <c r="J1139" i="4" s="1"/>
  <c r="B1144" i="4" s="1"/>
  <c r="I1139" i="4"/>
  <c r="K1139" i="4"/>
  <c r="C1144" i="4" s="1"/>
  <c r="D1150" i="4" l="1"/>
  <c r="E1150" i="4" s="1"/>
  <c r="G1150" i="4" s="1"/>
  <c r="D1151" i="4"/>
  <c r="E1151" i="4" s="1"/>
  <c r="G1151" i="4" s="1"/>
  <c r="D1149" i="4"/>
  <c r="E1149" i="4" s="1"/>
  <c r="G1149" i="4" s="1"/>
  <c r="D1153" i="4"/>
  <c r="E1153" i="4" s="1"/>
  <c r="G1153" i="4" s="1"/>
  <c r="D1152" i="4"/>
  <c r="E1152" i="4" s="1"/>
  <c r="G1152" i="4" s="1"/>
  <c r="D1148" i="4"/>
  <c r="E1148" i="4" s="1"/>
  <c r="G1148" i="4" s="1"/>
  <c r="I1151" i="4"/>
  <c r="I1150" i="4"/>
  <c r="I1149" i="4" l="1"/>
  <c r="I1153" i="4"/>
  <c r="K1153" i="4" s="1"/>
  <c r="I1148" i="4"/>
  <c r="K1148" i="4" s="1"/>
  <c r="I1152" i="4"/>
  <c r="J1153" i="4"/>
  <c r="J1150" i="4"/>
  <c r="K1150" i="4"/>
  <c r="K1151" i="4"/>
  <c r="J1151" i="4"/>
  <c r="K1149" i="4"/>
  <c r="J1149" i="4"/>
  <c r="J1148" i="4" l="1"/>
  <c r="I1155" i="4"/>
  <c r="K1152" i="4"/>
  <c r="K1154" i="4" s="1"/>
  <c r="C1159" i="4" s="1"/>
  <c r="J1152" i="4"/>
  <c r="J1154" i="4" s="1"/>
  <c r="B1159" i="4" s="1"/>
  <c r="I1154" i="4"/>
  <c r="D1167" i="4" l="1"/>
  <c r="E1167" i="4" s="1"/>
  <c r="D1163" i="4"/>
  <c r="D1164" i="4"/>
  <c r="D1168" i="4"/>
  <c r="D1165" i="4"/>
  <c r="D1166" i="4"/>
  <c r="I1167" i="4" l="1"/>
  <c r="J1167" i="4" s="1"/>
  <c r="G1167" i="4"/>
  <c r="E1168" i="4"/>
  <c r="E1164" i="4"/>
  <c r="E1166" i="4"/>
  <c r="G1166" i="4" s="1"/>
  <c r="E1163" i="4"/>
  <c r="E1165" i="4"/>
  <c r="K1167" i="4" l="1"/>
  <c r="I1168" i="4"/>
  <c r="J1168" i="4" s="1"/>
  <c r="G1168" i="4"/>
  <c r="I1164" i="4"/>
  <c r="K1164" i="4" s="1"/>
  <c r="G1164" i="4"/>
  <c r="I1165" i="4"/>
  <c r="J1165" i="4" s="1"/>
  <c r="G1165" i="4"/>
  <c r="I1163" i="4"/>
  <c r="G1163" i="4"/>
  <c r="I1166" i="4"/>
  <c r="K1166" i="4" s="1"/>
  <c r="K1168" i="4" l="1"/>
  <c r="K1165" i="4"/>
  <c r="I1170" i="4"/>
  <c r="I1169" i="4"/>
  <c r="J1164" i="4"/>
  <c r="K1163" i="4"/>
  <c r="J1163" i="4"/>
  <c r="J1166" i="4"/>
  <c r="K1169" i="4" l="1"/>
  <c r="C1174" i="4" s="1"/>
  <c r="J1169" i="4"/>
  <c r="B1174" i="4" s="1"/>
  <c r="D1181" i="4" l="1"/>
  <c r="E1181" i="4" s="1"/>
  <c r="I1181" i="4" s="1"/>
  <c r="J1181" i="4" s="1"/>
  <c r="D1178" i="4"/>
  <c r="E1178" i="4" s="1"/>
  <c r="G1178" i="4" s="1"/>
  <c r="D1180" i="4"/>
  <c r="E1180" i="4" s="1"/>
  <c r="G1180" i="4" s="1"/>
  <c r="D1182" i="4"/>
  <c r="E1182" i="4" s="1"/>
  <c r="G1182" i="4" s="1"/>
  <c r="D1179" i="4"/>
  <c r="E1179" i="4" s="1"/>
  <c r="G1179" i="4" s="1"/>
  <c r="D1183" i="4"/>
  <c r="E1183" i="4" s="1"/>
  <c r="G1183" i="4" s="1"/>
  <c r="I1180" i="4"/>
  <c r="K1180" i="4" s="1"/>
  <c r="G1181" i="4" l="1"/>
  <c r="I1183" i="4"/>
  <c r="K1183" i="4" s="1"/>
  <c r="I1178" i="4"/>
  <c r="K1178" i="4" s="1"/>
  <c r="I1182" i="4"/>
  <c r="K1182" i="4" s="1"/>
  <c r="J1180" i="4"/>
  <c r="I1179" i="4"/>
  <c r="K1179" i="4" s="1"/>
  <c r="K1181" i="4"/>
  <c r="J1183" i="4" l="1"/>
  <c r="J1178" i="4"/>
  <c r="J1182" i="4"/>
  <c r="K1184" i="4"/>
  <c r="C1189" i="4" s="1"/>
  <c r="J1179" i="4"/>
  <c r="I1184" i="4"/>
  <c r="I1185" i="4"/>
  <c r="J1184" i="4" l="1"/>
  <c r="B1189" i="4" s="1"/>
  <c r="D1193" i="4" s="1"/>
  <c r="E1193" i="4" s="1"/>
  <c r="I1193" i="4" s="1"/>
  <c r="J1193" i="4" s="1"/>
  <c r="D1196" i="4" l="1"/>
  <c r="E1196" i="4" s="1"/>
  <c r="I1196" i="4" s="1"/>
  <c r="J1196" i="4" s="1"/>
  <c r="D1197" i="4"/>
  <c r="E1197" i="4" s="1"/>
  <c r="G1197" i="4" s="1"/>
  <c r="D1195" i="4"/>
  <c r="E1195" i="4" s="1"/>
  <c r="I1195" i="4" s="1"/>
  <c r="K1195" i="4" s="1"/>
  <c r="D1198" i="4"/>
  <c r="E1198" i="4" s="1"/>
  <c r="I1198" i="4" s="1"/>
  <c r="K1198" i="4" s="1"/>
  <c r="D1194" i="4"/>
  <c r="E1194" i="4" s="1"/>
  <c r="I1194" i="4" s="1"/>
  <c r="K1194" i="4" s="1"/>
  <c r="G1193" i="4"/>
  <c r="J1195" i="4"/>
  <c r="K1193" i="4"/>
  <c r="I1197" i="4" l="1"/>
  <c r="I1199" i="4" s="1"/>
  <c r="G1196" i="4"/>
  <c r="G1194" i="4"/>
  <c r="G1195" i="4"/>
  <c r="J1194" i="4"/>
  <c r="G1198" i="4"/>
  <c r="K1196" i="4"/>
  <c r="J1198" i="4"/>
  <c r="K1197" i="4"/>
  <c r="K1199" i="4" l="1"/>
  <c r="C1204" i="4" s="1"/>
  <c r="I1200" i="4"/>
  <c r="J1197" i="4"/>
  <c r="J1199" i="4" s="1"/>
  <c r="B1204" i="4" s="1"/>
  <c r="D1208" i="4" s="1"/>
  <c r="E1208" i="4" s="1"/>
  <c r="D1210" i="4" l="1"/>
  <c r="E1210" i="4" s="1"/>
  <c r="G1210" i="4" s="1"/>
  <c r="D1211" i="4"/>
  <c r="E1211" i="4" s="1"/>
  <c r="I1211" i="4" s="1"/>
  <c r="K1211" i="4" s="1"/>
  <c r="D1212" i="4"/>
  <c r="E1212" i="4" s="1"/>
  <c r="I1212" i="4" s="1"/>
  <c r="G1208" i="4"/>
  <c r="I1208" i="4"/>
  <c r="J1208" i="4" s="1"/>
  <c r="D1209" i="4"/>
  <c r="E1209" i="4" s="1"/>
  <c r="D1213" i="4"/>
  <c r="E1213" i="4" s="1"/>
  <c r="G1213" i="4" s="1"/>
  <c r="I1210" i="4" l="1"/>
  <c r="K1210" i="4" s="1"/>
  <c r="K1208" i="4"/>
  <c r="I1213" i="4"/>
  <c r="K1213" i="4" s="1"/>
  <c r="G1212" i="4"/>
  <c r="G1211" i="4"/>
  <c r="K1212" i="4"/>
  <c r="J1212" i="4"/>
  <c r="G1209" i="4"/>
  <c r="I1209" i="4"/>
  <c r="J1211" i="4"/>
  <c r="I1214" i="4" l="1"/>
  <c r="I1215" i="4"/>
  <c r="J1210" i="4"/>
  <c r="J1213" i="4"/>
  <c r="J1209" i="4"/>
  <c r="K1209" i="4"/>
  <c r="K1214" i="4" s="1"/>
  <c r="C1219" i="4" s="1"/>
  <c r="J1214" i="4" l="1"/>
  <c r="B1219" i="4" s="1"/>
  <c r="D1228" i="4" s="1"/>
  <c r="E1228" i="4" s="1"/>
  <c r="D1226" i="4" l="1"/>
  <c r="E1226" i="4" s="1"/>
  <c r="I1226" i="4" s="1"/>
  <c r="J1226" i="4" s="1"/>
  <c r="D1223" i="4"/>
  <c r="E1223" i="4" s="1"/>
  <c r="G1223" i="4" s="1"/>
  <c r="D1227" i="4"/>
  <c r="E1227" i="4" s="1"/>
  <c r="G1227" i="4" s="1"/>
  <c r="D1224" i="4"/>
  <c r="E1224" i="4" s="1"/>
  <c r="D1225" i="4"/>
  <c r="E1225" i="4" s="1"/>
  <c r="G1225" i="4" s="1"/>
  <c r="I1228" i="4"/>
  <c r="K1228" i="4" s="1"/>
  <c r="G1228" i="4"/>
  <c r="I1223" i="4"/>
  <c r="J1223" i="4" s="1"/>
  <c r="J1228" i="4" l="1"/>
  <c r="G1226" i="4"/>
  <c r="I1227" i="4"/>
  <c r="I1225" i="4"/>
  <c r="J1225" i="4" s="1"/>
  <c r="G1224" i="4"/>
  <c r="I1224" i="4"/>
  <c r="K1223" i="4"/>
  <c r="K1226" i="4"/>
  <c r="K1225" i="4" l="1"/>
  <c r="J1227" i="4"/>
  <c r="K1227" i="4"/>
  <c r="I1230" i="4"/>
  <c r="J1224" i="4"/>
  <c r="K1224" i="4"/>
  <c r="I1229" i="4"/>
  <c r="K1229" i="4" l="1"/>
  <c r="C1234" i="4" s="1"/>
  <c r="J1229" i="4"/>
  <c r="B1234" i="4" s="1"/>
  <c r="D1242" i="4" l="1"/>
  <c r="E1242" i="4" s="1"/>
  <c r="G1242" i="4" s="1"/>
  <c r="D1240" i="4"/>
  <c r="E1240" i="4" s="1"/>
  <c r="I1240" i="4" s="1"/>
  <c r="K1240" i="4" s="1"/>
  <c r="D1238" i="4"/>
  <c r="E1238" i="4" s="1"/>
  <c r="G1238" i="4" s="1"/>
  <c r="D1241" i="4"/>
  <c r="E1241" i="4" s="1"/>
  <c r="I1242" i="4"/>
  <c r="J1242" i="4" s="1"/>
  <c r="D1239" i="4"/>
  <c r="E1239" i="4" s="1"/>
  <c r="D1243" i="4"/>
  <c r="E1243" i="4" s="1"/>
  <c r="I1238" i="4" l="1"/>
  <c r="K1238" i="4" s="1"/>
  <c r="J1240" i="4"/>
  <c r="G1240" i="4"/>
  <c r="K1242" i="4"/>
  <c r="I1241" i="4"/>
  <c r="G1241" i="4"/>
  <c r="G1243" i="4"/>
  <c r="I1243" i="4"/>
  <c r="G1239" i="4"/>
  <c r="I1239" i="4"/>
  <c r="J1238" i="4"/>
  <c r="I1245" i="4" l="1"/>
  <c r="J1241" i="4"/>
  <c r="K1241" i="4"/>
  <c r="K1239" i="4"/>
  <c r="J1239" i="4"/>
  <c r="I1244" i="4"/>
  <c r="J1243" i="4"/>
  <c r="K1243" i="4"/>
  <c r="J1244" i="4" l="1"/>
  <c r="B1249" i="4" s="1"/>
  <c r="K1244" i="4"/>
  <c r="C1249" i="4" s="1"/>
  <c r="D1254" i="4" l="1"/>
  <c r="E1254" i="4" s="1"/>
  <c r="G1254" i="4" s="1"/>
  <c r="D1253" i="4"/>
  <c r="E1253" i="4" s="1"/>
  <c r="D1255" i="4"/>
  <c r="E1255" i="4" s="1"/>
  <c r="D1258" i="4"/>
  <c r="E1258" i="4" s="1"/>
  <c r="D1257" i="4"/>
  <c r="E1257" i="4" s="1"/>
  <c r="D1256" i="4"/>
  <c r="E1256" i="4" s="1"/>
  <c r="I1254" i="4" l="1"/>
  <c r="J1254" i="4" s="1"/>
  <c r="G1256" i="4"/>
  <c r="I1256" i="4"/>
  <c r="G1258" i="4"/>
  <c r="I1258" i="4"/>
  <c r="G1253" i="4"/>
  <c r="I1253" i="4"/>
  <c r="G1257" i="4"/>
  <c r="I1257" i="4"/>
  <c r="G1255" i="4"/>
  <c r="I1255" i="4"/>
  <c r="K1254" i="4" l="1"/>
  <c r="K1255" i="4"/>
  <c r="J1255" i="4"/>
  <c r="K1257" i="4"/>
  <c r="J1257" i="4"/>
  <c r="K1253" i="4"/>
  <c r="J1253" i="4"/>
  <c r="I1259" i="4"/>
  <c r="I1260" i="4"/>
  <c r="J1258" i="4"/>
  <c r="K1258" i="4"/>
  <c r="J1256" i="4"/>
  <c r="K1256" i="4"/>
  <c r="K1259" i="4" l="1"/>
  <c r="C1264" i="4" s="1"/>
  <c r="J1259" i="4"/>
  <c r="B1264" i="4" s="1"/>
  <c r="D1270" i="4" l="1"/>
  <c r="E1270" i="4" s="1"/>
  <c r="D1268" i="4"/>
  <c r="E1268" i="4" s="1"/>
  <c r="D1271" i="4"/>
  <c r="E1271" i="4" s="1"/>
  <c r="D1273" i="4"/>
  <c r="E1273" i="4" s="1"/>
  <c r="D1269" i="4"/>
  <c r="E1269" i="4" s="1"/>
  <c r="D1272" i="4"/>
  <c r="E1272" i="4" s="1"/>
  <c r="G1269" i="4" l="1"/>
  <c r="I1269" i="4"/>
  <c r="G1271" i="4"/>
  <c r="I1271" i="4"/>
  <c r="G1270" i="4"/>
  <c r="I1270" i="4"/>
  <c r="G1272" i="4"/>
  <c r="I1272" i="4"/>
  <c r="G1273" i="4"/>
  <c r="I1273" i="4"/>
  <c r="G1268" i="4"/>
  <c r="I1268" i="4"/>
  <c r="I1275" i="4" l="1"/>
  <c r="J1268" i="4"/>
  <c r="I1274" i="4"/>
  <c r="K1268" i="4"/>
  <c r="K1273" i="4"/>
  <c r="J1273" i="4"/>
  <c r="J1272" i="4"/>
  <c r="K1272" i="4"/>
  <c r="J1270" i="4"/>
  <c r="K1270" i="4"/>
  <c r="K1271" i="4"/>
  <c r="J1271" i="4"/>
  <c r="K1269" i="4"/>
  <c r="J1269" i="4"/>
  <c r="K1274" i="4" l="1"/>
  <c r="C1279" i="4" s="1"/>
  <c r="J1274" i="4"/>
  <c r="B1279" i="4" s="1"/>
  <c r="D1288" i="4" l="1"/>
  <c r="E1288" i="4" s="1"/>
  <c r="D1284" i="4"/>
  <c r="E1284" i="4" s="1"/>
  <c r="D1286" i="4"/>
  <c r="E1286" i="4" s="1"/>
  <c r="D1287" i="4"/>
  <c r="E1287" i="4" s="1"/>
  <c r="D1283" i="4"/>
  <c r="E1283" i="4" s="1"/>
  <c r="D1285" i="4"/>
  <c r="E1285" i="4" s="1"/>
  <c r="I1283" i="4" l="1"/>
  <c r="G1283" i="4"/>
  <c r="I1286" i="4"/>
  <c r="G1286" i="4"/>
  <c r="G1288" i="4"/>
  <c r="I1288" i="4"/>
  <c r="I1285" i="4"/>
  <c r="G1285" i="4"/>
  <c r="G1287" i="4"/>
  <c r="I1287" i="4"/>
  <c r="I1284" i="4"/>
  <c r="G1284" i="4"/>
  <c r="J1284" i="4" l="1"/>
  <c r="K1284" i="4"/>
  <c r="K1285" i="4"/>
  <c r="J1285" i="4"/>
  <c r="K1286" i="4"/>
  <c r="J1286" i="4"/>
  <c r="J1283" i="4"/>
  <c r="I1289" i="4"/>
  <c r="K1283" i="4"/>
  <c r="I1290" i="4"/>
  <c r="J1287" i="4"/>
  <c r="K1287" i="4"/>
  <c r="J1288" i="4"/>
  <c r="K1288" i="4"/>
  <c r="J1289" i="4" l="1"/>
  <c r="B1294" i="4" s="1"/>
  <c r="K1289" i="4"/>
  <c r="C1294" i="4" s="1"/>
  <c r="D1301" i="4" l="1"/>
  <c r="E1301" i="4" s="1"/>
  <c r="D1303" i="4"/>
  <c r="E1303" i="4" s="1"/>
  <c r="D1300" i="4"/>
  <c r="E1300" i="4" s="1"/>
  <c r="D1299" i="4"/>
  <c r="E1299" i="4" s="1"/>
  <c r="D1302" i="4"/>
  <c r="E1302" i="4" s="1"/>
  <c r="D1298" i="4"/>
  <c r="E1298" i="4" s="1"/>
  <c r="G1302" i="4" l="1"/>
  <c r="I1302" i="4"/>
  <c r="G1300" i="4"/>
  <c r="I1300" i="4"/>
  <c r="I1301" i="4"/>
  <c r="G1301" i="4"/>
  <c r="I1298" i="4"/>
  <c r="G1298" i="4"/>
  <c r="G1299" i="4"/>
  <c r="I1299" i="4"/>
  <c r="G1303" i="4"/>
  <c r="I1303" i="4"/>
  <c r="K1298" i="4" l="1"/>
  <c r="I1304" i="4"/>
  <c r="J1298" i="4"/>
  <c r="I1305" i="4"/>
  <c r="J1301" i="4"/>
  <c r="K1301" i="4"/>
  <c r="J1303" i="4"/>
  <c r="K1303" i="4"/>
  <c r="K1299" i="4"/>
  <c r="J1299" i="4"/>
  <c r="K1300" i="4"/>
  <c r="J1300" i="4"/>
  <c r="K1302" i="4"/>
  <c r="J1302" i="4"/>
  <c r="J1304" i="4" l="1"/>
  <c r="B1309" i="4" s="1"/>
  <c r="K1304" i="4"/>
  <c r="C1309" i="4" s="1"/>
  <c r="D1315" i="4" l="1"/>
  <c r="E1315" i="4" s="1"/>
  <c r="D1314" i="4"/>
  <c r="E1314" i="4" s="1"/>
  <c r="D1316" i="4"/>
  <c r="E1316" i="4" s="1"/>
  <c r="D1318" i="4"/>
  <c r="E1318" i="4" s="1"/>
  <c r="D1313" i="4"/>
  <c r="E1313" i="4" s="1"/>
  <c r="D1317" i="4"/>
  <c r="E1317" i="4" s="1"/>
  <c r="G1313" i="4" l="1"/>
  <c r="I1313" i="4"/>
  <c r="G1316" i="4"/>
  <c r="I1316" i="4"/>
  <c r="G1315" i="4"/>
  <c r="I1315" i="4"/>
  <c r="G1317" i="4"/>
  <c r="I1317" i="4"/>
  <c r="G1318" i="4"/>
  <c r="I1318" i="4"/>
  <c r="G1314" i="4"/>
  <c r="I1314" i="4"/>
  <c r="J1314" i="4" l="1"/>
  <c r="K1314" i="4"/>
  <c r="J1318" i="4"/>
  <c r="K1318" i="4"/>
  <c r="K1317" i="4"/>
  <c r="J1317" i="4"/>
  <c r="K1315" i="4"/>
  <c r="J1315" i="4"/>
  <c r="J1316" i="4"/>
  <c r="K1316" i="4"/>
  <c r="I1319" i="4"/>
  <c r="K1313" i="4"/>
  <c r="I1320" i="4"/>
  <c r="J1313" i="4"/>
  <c r="J1319" i="4" l="1"/>
  <c r="B1324" i="4" s="1"/>
  <c r="K1319" i="4"/>
  <c r="C1324" i="4" s="1"/>
  <c r="D1332" i="4" l="1"/>
  <c r="E1332" i="4" s="1"/>
  <c r="D1331" i="4"/>
  <c r="E1331" i="4" s="1"/>
  <c r="D1328" i="4"/>
  <c r="E1328" i="4" s="1"/>
  <c r="D1333" i="4"/>
  <c r="E1333" i="4" s="1"/>
  <c r="D1330" i="4"/>
  <c r="E1330" i="4" s="1"/>
  <c r="D1329" i="4"/>
  <c r="E1329" i="4" s="1"/>
  <c r="G1330" i="4" l="1"/>
  <c r="I1330" i="4"/>
  <c r="G1328" i="4"/>
  <c r="I1328" i="4"/>
  <c r="G1332" i="4"/>
  <c r="I1332" i="4"/>
  <c r="G1329" i="4"/>
  <c r="I1329" i="4"/>
  <c r="G1333" i="4"/>
  <c r="I1333" i="4"/>
  <c r="G1331" i="4"/>
  <c r="I1331" i="4"/>
  <c r="J1331" i="4" l="1"/>
  <c r="K1331" i="4"/>
  <c r="K1333" i="4"/>
  <c r="J1333" i="4"/>
  <c r="J1329" i="4"/>
  <c r="K1329" i="4"/>
  <c r="K1332" i="4"/>
  <c r="J1332" i="4"/>
  <c r="I1334" i="4"/>
  <c r="K1328" i="4"/>
  <c r="I1335" i="4"/>
  <c r="J1328" i="4"/>
  <c r="K1330" i="4"/>
  <c r="J1330" i="4"/>
  <c r="J1334" i="4" l="1"/>
  <c r="B1339" i="4" s="1"/>
  <c r="K1334" i="4"/>
  <c r="C1339" i="4" s="1"/>
  <c r="D1344" i="4" l="1"/>
  <c r="E1344" i="4" s="1"/>
  <c r="G1344" i="4" s="1"/>
  <c r="D1343" i="4"/>
  <c r="E1343" i="4" s="1"/>
  <c r="G1343" i="4" s="1"/>
  <c r="D1346" i="4"/>
  <c r="E1346" i="4" s="1"/>
  <c r="G1346" i="4" s="1"/>
  <c r="D1348" i="4"/>
  <c r="E1348" i="4" s="1"/>
  <c r="D1347" i="4"/>
  <c r="E1347" i="4" s="1"/>
  <c r="G1347" i="4" s="1"/>
  <c r="D1345" i="4"/>
  <c r="E1345" i="4" s="1"/>
  <c r="G1345" i="4" s="1"/>
  <c r="I1345" i="4" l="1"/>
  <c r="J1345" i="4" s="1"/>
  <c r="I1343" i="4"/>
  <c r="K1343" i="4" s="1"/>
  <c r="I1346" i="4"/>
  <c r="J1346" i="4" s="1"/>
  <c r="I1347" i="4"/>
  <c r="J1347" i="4" s="1"/>
  <c r="I1344" i="4"/>
  <c r="K1344" i="4" s="1"/>
  <c r="G1348" i="4"/>
  <c r="I1348" i="4"/>
  <c r="K1345" i="4"/>
  <c r="K1346" i="4" l="1"/>
  <c r="J1343" i="4"/>
  <c r="I1350" i="4"/>
  <c r="K1347" i="4"/>
  <c r="I1349" i="4"/>
  <c r="K1348" i="4"/>
  <c r="J1348" i="4"/>
  <c r="J1344" i="4"/>
  <c r="K1349" i="4" l="1"/>
  <c r="C1354" i="4" s="1"/>
  <c r="J1349" i="4"/>
  <c r="B1354" i="4" s="1"/>
  <c r="D1362" i="4" s="1"/>
  <c r="E1362" i="4" s="1"/>
  <c r="D1358" i="4" l="1"/>
  <c r="E1358" i="4" s="1"/>
  <c r="G1358" i="4" s="1"/>
  <c r="D1360" i="4"/>
  <c r="E1360" i="4" s="1"/>
  <c r="G1360" i="4" s="1"/>
  <c r="D1359" i="4"/>
  <c r="E1359" i="4" s="1"/>
  <c r="G1359" i="4" s="1"/>
  <c r="G1362" i="4"/>
  <c r="I1362" i="4"/>
  <c r="J1362" i="4" s="1"/>
  <c r="D1361" i="4"/>
  <c r="E1361" i="4" s="1"/>
  <c r="G1361" i="4" s="1"/>
  <c r="D1363" i="4"/>
  <c r="E1363" i="4" s="1"/>
  <c r="I1363" i="4" s="1"/>
  <c r="K1363" i="4" s="1"/>
  <c r="I1360" i="4"/>
  <c r="J1360" i="4" s="1"/>
  <c r="I1358" i="4"/>
  <c r="J1358" i="4" s="1"/>
  <c r="I1361" i="4"/>
  <c r="I1359" i="4"/>
  <c r="K1362" i="4" l="1"/>
  <c r="G1363" i="4"/>
  <c r="J1363" i="4"/>
  <c r="K1360" i="4"/>
  <c r="K1358" i="4"/>
  <c r="I1364" i="4"/>
  <c r="K1361" i="4"/>
  <c r="J1361" i="4"/>
  <c r="I1365" i="4"/>
  <c r="J1359" i="4"/>
  <c r="K1359" i="4"/>
  <c r="K1364" i="4" l="1"/>
  <c r="C1369" i="4" s="1"/>
  <c r="J1364" i="4"/>
  <c r="B1369" i="4" s="1"/>
  <c r="D1377" i="4" l="1"/>
  <c r="E1377" i="4" s="1"/>
  <c r="G1377" i="4" s="1"/>
  <c r="D1376" i="4"/>
  <c r="E1376" i="4" s="1"/>
  <c r="D1374" i="4"/>
  <c r="E1374" i="4" s="1"/>
  <c r="G1374" i="4" s="1"/>
  <c r="D1373" i="4"/>
  <c r="E1373" i="4" s="1"/>
  <c r="D1375" i="4"/>
  <c r="E1375" i="4" s="1"/>
  <c r="D1378" i="4"/>
  <c r="E1378" i="4" s="1"/>
  <c r="I1377" i="4"/>
  <c r="I1373" i="4" l="1"/>
  <c r="K1373" i="4" s="1"/>
  <c r="G1373" i="4"/>
  <c r="I1376" i="4"/>
  <c r="J1376" i="4" s="1"/>
  <c r="G1376" i="4"/>
  <c r="I1378" i="4"/>
  <c r="K1378" i="4" s="1"/>
  <c r="G1378" i="4"/>
  <c r="I1375" i="4"/>
  <c r="J1375" i="4" s="1"/>
  <c r="G1375" i="4"/>
  <c r="I1374" i="4"/>
  <c r="K1374" i="4" s="1"/>
  <c r="J1377" i="4"/>
  <c r="K1377" i="4"/>
  <c r="J1373" i="4" l="1"/>
  <c r="J1378" i="4"/>
  <c r="J1374" i="4"/>
  <c r="K1375" i="4"/>
  <c r="I1380" i="4"/>
  <c r="K1376" i="4"/>
  <c r="I1379" i="4"/>
  <c r="K1379" i="4" l="1"/>
  <c r="C1384" i="4" s="1"/>
  <c r="J1379" i="4"/>
  <c r="B1384" i="4" s="1"/>
  <c r="D1389" i="4" s="1"/>
  <c r="E1389" i="4" s="1"/>
  <c r="G1389" i="4" s="1"/>
  <c r="D1391" i="4" l="1"/>
  <c r="E1391" i="4" s="1"/>
  <c r="G1391" i="4" s="1"/>
  <c r="D1393" i="4"/>
  <c r="E1393" i="4" s="1"/>
  <c r="G1393" i="4" s="1"/>
  <c r="D1392" i="4"/>
  <c r="E1392" i="4" s="1"/>
  <c r="G1392" i="4" s="1"/>
  <c r="D1390" i="4"/>
  <c r="E1390" i="4" s="1"/>
  <c r="G1390" i="4" s="1"/>
  <c r="D1388" i="4"/>
  <c r="E1388" i="4" s="1"/>
  <c r="G1388" i="4" s="1"/>
  <c r="I1393" i="4"/>
  <c r="I1392" i="4"/>
  <c r="I1389" i="4"/>
  <c r="I1391" i="4" l="1"/>
  <c r="K1391" i="4" s="1"/>
  <c r="I1390" i="4"/>
  <c r="K1390" i="4" s="1"/>
  <c r="I1388" i="4"/>
  <c r="J1388" i="4" s="1"/>
  <c r="K1389" i="4"/>
  <c r="J1389" i="4"/>
  <c r="K1393" i="4"/>
  <c r="J1393" i="4"/>
  <c r="J1390" i="4"/>
  <c r="J1392" i="4"/>
  <c r="K1392" i="4"/>
  <c r="J1391" i="4" l="1"/>
  <c r="J1394" i="4" s="1"/>
  <c r="B1399" i="4" s="1"/>
  <c r="I1394" i="4"/>
  <c r="K1388" i="4"/>
  <c r="K1394" i="4" s="1"/>
  <c r="C1399" i="4" s="1"/>
  <c r="I1395" i="4"/>
  <c r="D1407" i="4" l="1"/>
  <c r="E1407" i="4" s="1"/>
  <c r="G1407" i="4" s="1"/>
  <c r="D1408" i="4"/>
  <c r="E1408" i="4" s="1"/>
  <c r="G1408" i="4" s="1"/>
  <c r="D1403" i="4"/>
  <c r="E1403" i="4" s="1"/>
  <c r="G1403" i="4" s="1"/>
  <c r="D1404" i="4"/>
  <c r="E1404" i="4" s="1"/>
  <c r="G1404" i="4" s="1"/>
  <c r="D1406" i="4"/>
  <c r="E1406" i="4" s="1"/>
  <c r="G1406" i="4" s="1"/>
  <c r="D1405" i="4"/>
  <c r="E1405" i="4" s="1"/>
  <c r="G1405" i="4" s="1"/>
  <c r="I1403" i="4" l="1"/>
  <c r="I1404" i="4"/>
  <c r="I1405" i="4"/>
  <c r="I1408" i="4"/>
  <c r="I1406" i="4"/>
  <c r="I1407" i="4"/>
  <c r="J1407" i="4" l="1"/>
  <c r="K1407" i="4"/>
  <c r="J1408" i="4"/>
  <c r="K1408" i="4"/>
  <c r="K1404" i="4"/>
  <c r="J1404" i="4"/>
  <c r="K1406" i="4"/>
  <c r="J1406" i="4"/>
  <c r="J1405" i="4"/>
  <c r="K1405" i="4"/>
  <c r="I1410" i="4"/>
  <c r="J1403" i="4"/>
  <c r="I1409" i="4"/>
  <c r="K1403" i="4"/>
  <c r="J1409" i="4" l="1"/>
  <c r="B1414" i="4" s="1"/>
  <c r="K1409" i="4"/>
  <c r="C1414" i="4" s="1"/>
  <c r="D1418" i="4" l="1"/>
  <c r="D1423" i="4"/>
  <c r="E1423" i="4" s="1"/>
  <c r="E1418" i="4"/>
  <c r="D1420" i="4"/>
  <c r="E1420" i="4" s="1"/>
  <c r="G1420" i="4" s="1"/>
  <c r="D1422" i="4"/>
  <c r="D1419" i="4"/>
  <c r="D1421" i="4"/>
  <c r="I1418" i="4" l="1"/>
  <c r="J1418" i="4" s="1"/>
  <c r="G1418" i="4"/>
  <c r="I1423" i="4"/>
  <c r="J1423" i="4" s="1"/>
  <c r="G1423" i="4"/>
  <c r="E1421" i="4"/>
  <c r="G1421" i="4" s="1"/>
  <c r="I1420" i="4"/>
  <c r="E1419" i="4"/>
  <c r="G1419" i="4" s="1"/>
  <c r="K1418" i="4"/>
  <c r="E1422" i="4"/>
  <c r="K1423" i="4" l="1"/>
  <c r="I1422" i="4"/>
  <c r="J1422" i="4" s="1"/>
  <c r="G1422" i="4"/>
  <c r="J1420" i="4"/>
  <c r="K1420" i="4"/>
  <c r="I1419" i="4"/>
  <c r="I1421" i="4"/>
  <c r="K1422" i="4" l="1"/>
  <c r="J1419" i="4"/>
  <c r="K1419" i="4"/>
  <c r="I1425" i="4"/>
  <c r="J1421" i="4"/>
  <c r="K1421" i="4"/>
  <c r="I1424" i="4"/>
  <c r="J1424" i="4" l="1"/>
  <c r="B1429" i="4" s="1"/>
  <c r="K1424" i="4"/>
  <c r="C1429" i="4" s="1"/>
  <c r="D1433" i="4" l="1"/>
  <c r="E1433" i="4" s="1"/>
  <c r="G1433" i="4" s="1"/>
  <c r="D1438" i="4"/>
  <c r="E1438" i="4" s="1"/>
  <c r="D1436" i="4"/>
  <c r="E1436" i="4" s="1"/>
  <c r="D1435" i="4"/>
  <c r="E1435" i="4" s="1"/>
  <c r="G1435" i="4" s="1"/>
  <c r="D1437" i="4"/>
  <c r="E1437" i="4" s="1"/>
  <c r="G1437" i="4" s="1"/>
  <c r="D1434" i="4"/>
  <c r="E1434" i="4" s="1"/>
  <c r="I1433" i="4"/>
  <c r="I1436" i="4" l="1"/>
  <c r="J1436" i="4" s="1"/>
  <c r="G1436" i="4"/>
  <c r="I1434" i="4"/>
  <c r="J1434" i="4" s="1"/>
  <c r="G1434" i="4"/>
  <c r="I1438" i="4"/>
  <c r="J1438" i="4" s="1"/>
  <c r="G1438" i="4"/>
  <c r="I1435" i="4"/>
  <c r="K1435" i="4" s="1"/>
  <c r="I1437" i="4"/>
  <c r="K1437" i="4" s="1"/>
  <c r="J1433" i="4"/>
  <c r="K1433" i="4"/>
  <c r="K1438" i="4"/>
  <c r="K1436" i="4" l="1"/>
  <c r="J1435" i="4"/>
  <c r="K1434" i="4"/>
  <c r="K1439" i="4" s="1"/>
  <c r="C1444" i="4" s="1"/>
  <c r="J1437" i="4"/>
  <c r="J1439" i="4" s="1"/>
  <c r="B1444" i="4" s="1"/>
  <c r="I1439" i="4"/>
  <c r="I1440" i="4"/>
  <c r="D1453" i="4" l="1"/>
  <c r="E1453" i="4" s="1"/>
  <c r="G1453" i="4" s="1"/>
  <c r="D1452" i="4"/>
  <c r="E1452" i="4" s="1"/>
  <c r="G1452" i="4" s="1"/>
  <c r="D1450" i="4"/>
  <c r="E1450" i="4" s="1"/>
  <c r="G1450" i="4" s="1"/>
  <c r="D1448" i="4"/>
  <c r="E1448" i="4" s="1"/>
  <c r="G1448" i="4" s="1"/>
  <c r="D1451" i="4"/>
  <c r="E1451" i="4" s="1"/>
  <c r="G1451" i="4" s="1"/>
  <c r="D1449" i="4"/>
  <c r="E1449" i="4" s="1"/>
  <c r="G1449" i="4" s="1"/>
  <c r="I1450" i="4" l="1"/>
  <c r="I1449" i="4"/>
  <c r="I1452" i="4"/>
  <c r="I1448" i="4"/>
  <c r="I1451" i="4"/>
  <c r="I1453" i="4"/>
  <c r="K1449" i="4" l="1"/>
  <c r="J1449" i="4"/>
  <c r="K1453" i="4"/>
  <c r="J1453" i="4"/>
  <c r="J1448" i="4"/>
  <c r="I1454" i="4"/>
  <c r="K1448" i="4"/>
  <c r="I1455" i="4"/>
  <c r="K1451" i="4"/>
  <c r="J1451" i="4"/>
  <c r="J1452" i="4"/>
  <c r="K1452" i="4"/>
  <c r="J1450" i="4"/>
  <c r="K1450" i="4"/>
  <c r="K1454" i="4" l="1"/>
  <c r="C1459" i="4" s="1"/>
  <c r="J1454" i="4"/>
  <c r="B1459" i="4" s="1"/>
  <c r="D1463" i="4" l="1"/>
  <c r="D1468" i="4"/>
  <c r="D1465" i="4"/>
  <c r="D1464" i="4"/>
  <c r="D1467" i="4"/>
  <c r="D1466" i="4"/>
  <c r="E1465" i="4" l="1"/>
  <c r="G1465" i="4" s="1"/>
  <c r="E1464" i="4"/>
  <c r="G1464" i="4" s="1"/>
  <c r="E1468" i="4"/>
  <c r="E1466" i="4"/>
  <c r="G1466" i="4" s="1"/>
  <c r="E1467" i="4"/>
  <c r="G1467" i="4" s="1"/>
  <c r="E1463" i="4"/>
  <c r="G1463" i="4" s="1"/>
  <c r="I1468" i="4" l="1"/>
  <c r="K1468" i="4" s="1"/>
  <c r="G1468" i="4"/>
  <c r="I1463" i="4"/>
  <c r="I1466" i="4"/>
  <c r="I1464" i="4"/>
  <c r="I1467" i="4"/>
  <c r="I1465" i="4"/>
  <c r="J1468" i="4" l="1"/>
  <c r="J1464" i="4"/>
  <c r="K1464" i="4"/>
  <c r="K1466" i="4"/>
  <c r="J1466" i="4"/>
  <c r="J1465" i="4"/>
  <c r="K1465" i="4"/>
  <c r="K1467" i="4"/>
  <c r="J1467" i="4"/>
  <c r="K1463" i="4"/>
  <c r="J1463" i="4"/>
  <c r="I1469" i="4"/>
  <c r="I1470" i="4"/>
  <c r="J1469" i="4" l="1"/>
  <c r="B1474" i="4" s="1"/>
  <c r="K1469" i="4"/>
  <c r="C1474" i="4" s="1"/>
  <c r="D1480" i="4" l="1"/>
  <c r="E1480" i="4" s="1"/>
  <c r="G1480" i="4" s="1"/>
  <c r="D1479" i="4"/>
  <c r="E1479" i="4" s="1"/>
  <c r="G1479" i="4" s="1"/>
  <c r="D1482" i="4"/>
  <c r="E1482" i="4" s="1"/>
  <c r="G1482" i="4" s="1"/>
  <c r="D1481" i="4"/>
  <c r="E1481" i="4" s="1"/>
  <c r="G1481" i="4" s="1"/>
  <c r="D1483" i="4"/>
  <c r="E1483" i="4" s="1"/>
  <c r="D1478" i="4"/>
  <c r="E1478" i="4" s="1"/>
  <c r="G1478" i="4" s="1"/>
  <c r="I1480" i="4"/>
  <c r="I1479" i="4"/>
  <c r="I1482" i="4" l="1"/>
  <c r="K1482" i="4" s="1"/>
  <c r="I1478" i="4"/>
  <c r="K1478" i="4" s="1"/>
  <c r="I1483" i="4"/>
  <c r="J1483" i="4" s="1"/>
  <c r="G1483" i="4"/>
  <c r="I1481" i="4"/>
  <c r="J1481" i="4" s="1"/>
  <c r="K1479" i="4"/>
  <c r="J1479" i="4"/>
  <c r="J1480" i="4"/>
  <c r="K1480" i="4"/>
  <c r="J1482" i="4" l="1"/>
  <c r="J1478" i="4"/>
  <c r="I1485" i="4"/>
  <c r="K1483" i="4"/>
  <c r="K1481" i="4"/>
  <c r="I1484" i="4"/>
  <c r="J1484" i="4" l="1"/>
  <c r="B1489" i="4" s="1"/>
  <c r="K1484" i="4"/>
  <c r="C1489" i="4" s="1"/>
  <c r="D1498" i="4" l="1"/>
  <c r="E1498" i="4" s="1"/>
  <c r="G1498" i="4" s="1"/>
  <c r="D1495" i="4"/>
  <c r="E1495" i="4" s="1"/>
  <c r="G1495" i="4" s="1"/>
  <c r="D1493" i="4"/>
  <c r="E1493" i="4" s="1"/>
  <c r="G1493" i="4" s="1"/>
  <c r="D1494" i="4"/>
  <c r="E1494" i="4" s="1"/>
  <c r="G1494" i="4" s="1"/>
  <c r="D1496" i="4"/>
  <c r="E1496" i="4" s="1"/>
  <c r="G1496" i="4" s="1"/>
  <c r="D1497" i="4"/>
  <c r="E1497" i="4" s="1"/>
  <c r="G1497" i="4" s="1"/>
  <c r="I1498" i="4"/>
  <c r="K1498" i="4" s="1"/>
  <c r="J1498" i="4" l="1"/>
  <c r="I1494" i="4"/>
  <c r="I1495" i="4"/>
  <c r="I1497" i="4"/>
  <c r="I1493" i="4"/>
  <c r="I1496" i="4"/>
  <c r="J1497" i="4" l="1"/>
  <c r="K1497" i="4"/>
  <c r="I1500" i="4"/>
  <c r="I1499" i="4"/>
  <c r="J1493" i="4"/>
  <c r="K1493" i="4"/>
  <c r="J1495" i="4"/>
  <c r="K1495" i="4"/>
  <c r="K1496" i="4"/>
  <c r="J1496" i="4"/>
  <c r="J1494" i="4"/>
  <c r="K1494" i="4"/>
  <c r="K1499" i="4" l="1"/>
  <c r="J1499" i="4"/>
</calcChain>
</file>

<file path=xl/sharedStrings.xml><?xml version="1.0" encoding="utf-8"?>
<sst xmlns="http://schemas.openxmlformats.org/spreadsheetml/2006/main" count="1731" uniqueCount="21">
  <si>
    <t>d1</t>
  </si>
  <si>
    <t>o1</t>
  </si>
  <si>
    <t>x1 (cm)</t>
  </si>
  <si>
    <t>x2 (mm)</t>
  </si>
  <si>
    <t>w1</t>
  </si>
  <si>
    <t>w2</t>
  </si>
  <si>
    <t>w0</t>
  </si>
  <si>
    <t>e1</t>
  </si>
  <si>
    <t>Soma</t>
  </si>
  <si>
    <t>Soma Quad</t>
  </si>
  <si>
    <t>Amostra</t>
  </si>
  <si>
    <t>delta1</t>
  </si>
  <si>
    <t>delta2</t>
  </si>
  <si>
    <t>Passo</t>
  </si>
  <si>
    <t>Taxa de Aprendizado</t>
  </si>
  <si>
    <t>f1</t>
  </si>
  <si>
    <t>Alvo</t>
  </si>
  <si>
    <t>Atual</t>
  </si>
  <si>
    <t>Ativação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</si>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</sst>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.000_);_(* \(#,##0.0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1" applyFont="1" applyBorder="1"/>
    <xf numFmtId="164" fontId="0" fillId="0" borderId="5" xfId="1" applyFont="1" applyBorder="1"/>
    <xf numFmtId="165" fontId="0" fillId="0" borderId="0" xfId="1" applyNumberFormat="1" applyFont="1" applyBorder="1"/>
    <xf numFmtId="0" fontId="0" fillId="0" borderId="6" xfId="0" applyBorder="1"/>
    <xf numFmtId="0" fontId="0" fillId="0" borderId="7" xfId="0" applyBorder="1"/>
    <xf numFmtId="165" fontId="0" fillId="0" borderId="7" xfId="1" applyNumberFormat="1" applyFont="1" applyBorder="1"/>
    <xf numFmtId="164" fontId="0" fillId="0" borderId="0" xfId="0" applyNumberFormat="1" applyBorder="1"/>
    <xf numFmtId="165" fontId="0" fillId="0" borderId="5" xfId="1" applyNumberFormat="1" applyFont="1" applyBorder="1"/>
    <xf numFmtId="165" fontId="0" fillId="0" borderId="8" xfId="1" applyNumberFormat="1" applyFont="1" applyBorder="1"/>
    <xf numFmtId="164" fontId="0" fillId="0" borderId="2" xfId="1" applyFont="1" applyBorder="1"/>
    <xf numFmtId="164" fontId="0" fillId="0" borderId="7" xfId="1" applyFont="1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8575">
              <a:noFill/>
            </a:ln>
          </c:spPr>
          <c:xVal>
            <c:numRef>
              <c:f>Perceptron!$O$24:$O$29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5</c:v>
                </c:pt>
              </c:numCache>
            </c:numRef>
          </c:xVal>
          <c:yVal>
            <c:numRef>
              <c:f>Perceptron!$P$24:$P$29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A-45CE-8493-424532B85264}"/>
            </c:ext>
          </c:extLst>
        </c:ser>
        <c:ser>
          <c:idx val="1"/>
          <c:order val="1"/>
          <c:tx>
            <c:v>B</c:v>
          </c:tx>
          <c:spPr>
            <a:ln w="28575">
              <a:noFill/>
            </a:ln>
          </c:spPr>
          <c:xVal>
            <c:numRef>
              <c:f>Perceptron!$T$24:$T$29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Perceptron!$U$24:$U$29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AA-45CE-8493-424532B85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52192"/>
        <c:axId val="204973184"/>
      </c:scatterChart>
      <c:valAx>
        <c:axId val="11055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4973184"/>
        <c:crosses val="autoZero"/>
        <c:crossBetween val="midCat"/>
      </c:valAx>
      <c:valAx>
        <c:axId val="204973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552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457201</xdr:colOff>
      <xdr:row>1</xdr:row>
      <xdr:rowOff>63500</xdr:rowOff>
    </xdr:from>
    <xdr:to>
      <xdr:col>15</xdr:col>
      <xdr:colOff>342901</xdr:colOff>
      <xdr:row>9</xdr:row>
      <xdr:rowOff>87197</xdr:rowOff>
    </xdr:to>
    <xdr:pic>
      <xdr:nvPicPr>
        <xdr:cNvPr id="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5201" y="254000"/>
          <a:ext cx="2324100" cy="154769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18</xdr:col>
      <xdr:colOff>463549</xdr:colOff>
      <xdr:row>3</xdr:row>
      <xdr:rowOff>38100</xdr:rowOff>
    </xdr:from>
    <xdr:to>
      <xdr:col>26</xdr:col>
      <xdr:colOff>158749</xdr:colOff>
      <xdr:row>17</xdr:row>
      <xdr:rowOff>114300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317500</xdr:colOff>
      <xdr:row>3</xdr:row>
      <xdr:rowOff>127000</xdr:rowOff>
    </xdr:from>
    <xdr:to>
      <xdr:col>25</xdr:col>
      <xdr:colOff>558800</xdr:colOff>
      <xdr:row>13</xdr:row>
      <xdr:rowOff>12700</xdr:rowOff>
    </xdr:to>
    <xdr:cxnSp macro="">
      <xdr:nvCxnSpPr>
        <xdr:cNvPr id="5" name="Conector reto 4"/>
        <xdr:cNvCxnSpPr/>
      </xdr:nvCxnSpPr>
      <xdr:spPr>
        <a:xfrm>
          <a:off x="10947400" y="698500"/>
          <a:ext cx="3898900" cy="1790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01"/>
  <sheetViews>
    <sheetView tabSelected="1" zoomScale="75" zoomScaleNormal="75" workbookViewId="0">
      <selection activeCell="W22" sqref="W22"/>
    </sheetView>
  </sheetViews>
  <sheetFormatPr defaultRowHeight="15" x14ac:dyDescent="0.25"/>
  <cols>
    <col min="1" max="3" width="7.5703125" customWidth="1"/>
    <col min="4" max="4" width="10" customWidth="1"/>
    <col min="5" max="6" width="7.5703125" customWidth="1"/>
    <col min="7" max="8" width="7.5703125" style="22" customWidth="1"/>
    <col min="9" max="9" width="7.5703125" style="1" customWidth="1"/>
    <col min="10" max="11" width="7.5703125" customWidth="1"/>
  </cols>
  <sheetData>
    <row r="1" spans="1:17" x14ac:dyDescent="0.25">
      <c r="A1" s="2" t="s">
        <v>14</v>
      </c>
      <c r="B1" s="3"/>
      <c r="C1" s="3">
        <v>0.01</v>
      </c>
      <c r="D1" s="3" t="s">
        <v>18</v>
      </c>
      <c r="E1" s="3">
        <v>-1</v>
      </c>
      <c r="F1" s="3">
        <v>1</v>
      </c>
      <c r="G1" s="19"/>
      <c r="H1" s="19"/>
      <c r="I1" s="17"/>
      <c r="J1" s="3"/>
      <c r="K1" s="3"/>
    </row>
    <row r="2" spans="1:17" x14ac:dyDescent="0.25">
      <c r="A2" s="2" t="s">
        <v>13</v>
      </c>
      <c r="B2" s="3">
        <v>1</v>
      </c>
      <c r="C2" s="3"/>
      <c r="D2" s="3"/>
      <c r="E2" s="3"/>
      <c r="F2" s="3"/>
      <c r="G2" s="19"/>
      <c r="H2" s="19"/>
      <c r="I2" s="17"/>
      <c r="J2" s="3"/>
      <c r="K2" s="4"/>
    </row>
    <row r="3" spans="1:17" x14ac:dyDescent="0.25">
      <c r="A3" s="5"/>
      <c r="B3" s="6" t="s">
        <v>4</v>
      </c>
      <c r="C3" s="6" t="s">
        <v>5</v>
      </c>
      <c r="D3" s="6" t="s">
        <v>6</v>
      </c>
      <c r="E3" s="6"/>
      <c r="F3" s="6"/>
      <c r="G3" s="20"/>
      <c r="H3" s="20"/>
      <c r="I3" s="8"/>
      <c r="J3" s="6"/>
      <c r="K3" s="7"/>
    </row>
    <row r="4" spans="1:17" x14ac:dyDescent="0.25">
      <c r="A4" s="5">
        <v>1</v>
      </c>
      <c r="B4" s="6">
        <v>1</v>
      </c>
      <c r="C4" s="6">
        <v>1</v>
      </c>
      <c r="D4" s="6">
        <v>-1</v>
      </c>
      <c r="E4" s="6"/>
      <c r="F4" s="6"/>
      <c r="G4" s="20"/>
      <c r="H4" s="20"/>
      <c r="I4" s="8"/>
      <c r="J4" s="6"/>
      <c r="K4" s="7"/>
    </row>
    <row r="5" spans="1:17" x14ac:dyDescent="0.25">
      <c r="A5" s="5"/>
      <c r="B5" s="6"/>
      <c r="C5" s="6"/>
      <c r="D5" s="6"/>
      <c r="E5" s="6"/>
      <c r="F5" s="6"/>
      <c r="G5" s="20"/>
      <c r="H5" s="20"/>
      <c r="I5" s="8"/>
      <c r="J5" s="6"/>
      <c r="K5" s="7"/>
    </row>
    <row r="6" spans="1:17" x14ac:dyDescent="0.25">
      <c r="A6" s="5"/>
      <c r="B6" s="6"/>
      <c r="C6" s="6"/>
      <c r="D6" s="6"/>
      <c r="E6" s="6"/>
      <c r="F6" s="6"/>
      <c r="G6" s="20"/>
      <c r="H6" s="20"/>
      <c r="I6" s="8"/>
      <c r="J6" s="6"/>
      <c r="K6" s="7"/>
    </row>
    <row r="7" spans="1:17" x14ac:dyDescent="0.25">
      <c r="A7" s="5" t="s">
        <v>10</v>
      </c>
      <c r="B7" s="6" t="s">
        <v>2</v>
      </c>
      <c r="C7" s="6" t="s">
        <v>3</v>
      </c>
      <c r="D7" s="6" t="s">
        <v>0</v>
      </c>
      <c r="E7" s="6" t="s">
        <v>15</v>
      </c>
      <c r="F7" s="6" t="s">
        <v>1</v>
      </c>
      <c r="G7" s="20" t="s">
        <v>17</v>
      </c>
      <c r="H7" s="20" t="s">
        <v>16</v>
      </c>
      <c r="I7" s="8" t="s">
        <v>7</v>
      </c>
      <c r="J7" s="6" t="s">
        <v>11</v>
      </c>
      <c r="K7" s="7" t="s">
        <v>12</v>
      </c>
    </row>
    <row r="8" spans="1:17" x14ac:dyDescent="0.25">
      <c r="A8" s="5">
        <v>1</v>
      </c>
      <c r="B8" s="6">
        <v>4</v>
      </c>
      <c r="C8" s="6">
        <v>3</v>
      </c>
      <c r="D8" s="8">
        <f>B8*B4+C8*C4+D4</f>
        <v>6</v>
      </c>
      <c r="E8" s="6">
        <f>IF(D8&gt;=0,$F$1,$E$1)</f>
        <v>1</v>
      </c>
      <c r="F8" s="6">
        <f>$F$1</f>
        <v>1</v>
      </c>
      <c r="G8" s="20" t="str">
        <f>IF(E8&gt;0,"A","B")</f>
        <v>A</v>
      </c>
      <c r="H8" s="20" t="str">
        <f>IF(F8&gt;0,"A","B")</f>
        <v>A</v>
      </c>
      <c r="I8" s="8">
        <f t="shared" ref="I8:I13" si="0">F8-E8</f>
        <v>0</v>
      </c>
      <c r="J8" s="8">
        <f t="shared" ref="J8:J13" si="1">$C$1*I8*B8</f>
        <v>0</v>
      </c>
      <c r="K8" s="9">
        <f t="shared" ref="K8:K13" si="2">$C$1*I8*C8</f>
        <v>0</v>
      </c>
    </row>
    <row r="9" spans="1:17" x14ac:dyDescent="0.25">
      <c r="A9" s="5">
        <v>2</v>
      </c>
      <c r="B9" s="6">
        <v>1</v>
      </c>
      <c r="C9" s="6">
        <v>1</v>
      </c>
      <c r="D9" s="8">
        <f>B9*B4+C9*C4+D4</f>
        <v>1</v>
      </c>
      <c r="E9" s="6">
        <f t="shared" ref="E9:E13" si="3">IF(D9&gt;=0,$F$1,$E$1)</f>
        <v>1</v>
      </c>
      <c r="F9" s="6">
        <f>$E$1</f>
        <v>-1</v>
      </c>
      <c r="G9" s="20" t="str">
        <f t="shared" ref="G9:G13" si="4">IF(E9&gt;0,"A","B")</f>
        <v>A</v>
      </c>
      <c r="H9" s="20" t="str">
        <f t="shared" ref="H9:H13" si="5">IF(F9&gt;0,"A","B")</f>
        <v>B</v>
      </c>
      <c r="I9" s="8">
        <f t="shared" si="0"/>
        <v>-2</v>
      </c>
      <c r="J9" s="8">
        <f t="shared" si="1"/>
        <v>-0.02</v>
      </c>
      <c r="K9" s="9">
        <f t="shared" si="2"/>
        <v>-0.02</v>
      </c>
    </row>
    <row r="10" spans="1:17" x14ac:dyDescent="0.25">
      <c r="A10" s="5">
        <v>3</v>
      </c>
      <c r="B10" s="6">
        <v>2</v>
      </c>
      <c r="C10" s="6">
        <v>2</v>
      </c>
      <c r="D10" s="8">
        <f>B10*B4+C10*C4+D4</f>
        <v>3</v>
      </c>
      <c r="E10" s="6">
        <f t="shared" si="3"/>
        <v>1</v>
      </c>
      <c r="F10" s="6">
        <f>$E$1</f>
        <v>-1</v>
      </c>
      <c r="G10" s="20" t="str">
        <f t="shared" si="4"/>
        <v>A</v>
      </c>
      <c r="H10" s="20" t="str">
        <f t="shared" si="5"/>
        <v>B</v>
      </c>
      <c r="I10" s="8">
        <f t="shared" si="0"/>
        <v>-2</v>
      </c>
      <c r="J10" s="8">
        <f t="shared" si="1"/>
        <v>-0.04</v>
      </c>
      <c r="K10" s="9">
        <f t="shared" si="2"/>
        <v>-0.04</v>
      </c>
    </row>
    <row r="11" spans="1:17" x14ac:dyDescent="0.25">
      <c r="A11" s="5">
        <v>4</v>
      </c>
      <c r="B11" s="6">
        <v>2</v>
      </c>
      <c r="C11" s="6">
        <v>3</v>
      </c>
      <c r="D11" s="8">
        <f>B11*B4+C11*C4+D4</f>
        <v>4</v>
      </c>
      <c r="E11" s="6">
        <f t="shared" si="3"/>
        <v>1</v>
      </c>
      <c r="F11" s="6">
        <f>F1</f>
        <v>1</v>
      </c>
      <c r="G11" s="20" t="str">
        <f t="shared" si="4"/>
        <v>A</v>
      </c>
      <c r="H11" s="20" t="str">
        <f t="shared" si="5"/>
        <v>A</v>
      </c>
      <c r="I11" s="8">
        <f t="shared" si="0"/>
        <v>0</v>
      </c>
      <c r="J11" s="8">
        <f t="shared" si="1"/>
        <v>0</v>
      </c>
      <c r="K11" s="9">
        <f t="shared" si="2"/>
        <v>0</v>
      </c>
    </row>
    <row r="12" spans="1:17" x14ac:dyDescent="0.25">
      <c r="A12" s="5">
        <v>5</v>
      </c>
      <c r="B12" s="6">
        <v>5</v>
      </c>
      <c r="C12" s="6">
        <v>3</v>
      </c>
      <c r="D12" s="8">
        <f>B12*B4+C12*C4+D4</f>
        <v>7</v>
      </c>
      <c r="E12" s="6">
        <f t="shared" si="3"/>
        <v>1</v>
      </c>
      <c r="F12" s="6">
        <f>F1</f>
        <v>1</v>
      </c>
      <c r="G12" s="20" t="str">
        <f t="shared" si="4"/>
        <v>A</v>
      </c>
      <c r="H12" s="20" t="str">
        <f t="shared" si="5"/>
        <v>A</v>
      </c>
      <c r="I12" s="8">
        <f t="shared" si="0"/>
        <v>0</v>
      </c>
      <c r="J12" s="8">
        <f t="shared" si="1"/>
        <v>0</v>
      </c>
      <c r="K12" s="9">
        <f t="shared" si="2"/>
        <v>0</v>
      </c>
    </row>
    <row r="13" spans="1:17" x14ac:dyDescent="0.25">
      <c r="A13" s="5">
        <v>6</v>
      </c>
      <c r="B13" s="6">
        <v>3</v>
      </c>
      <c r="C13" s="6">
        <v>2</v>
      </c>
      <c r="D13" s="8">
        <f>B13*B4+C13*C4+D4</f>
        <v>4</v>
      </c>
      <c r="E13" s="6">
        <f t="shared" si="3"/>
        <v>1</v>
      </c>
      <c r="F13" s="6">
        <f>E1</f>
        <v>-1</v>
      </c>
      <c r="G13" s="20" t="str">
        <f t="shared" si="4"/>
        <v>A</v>
      </c>
      <c r="H13" s="20" t="str">
        <f t="shared" si="5"/>
        <v>B</v>
      </c>
      <c r="I13" s="8">
        <f t="shared" si="0"/>
        <v>-2</v>
      </c>
      <c r="J13" s="8">
        <f t="shared" si="1"/>
        <v>-0.06</v>
      </c>
      <c r="K13" s="9">
        <f t="shared" si="2"/>
        <v>-0.04</v>
      </c>
    </row>
    <row r="14" spans="1:17" x14ac:dyDescent="0.25">
      <c r="A14" s="5"/>
      <c r="B14" s="6"/>
      <c r="C14" s="6"/>
      <c r="D14" s="6"/>
      <c r="E14" s="6"/>
      <c r="F14" s="6"/>
      <c r="G14" s="20" t="s">
        <v>8</v>
      </c>
      <c r="H14" s="20"/>
      <c r="I14" s="8">
        <f>SUM(I8:I13)</f>
        <v>-6</v>
      </c>
      <c r="J14" s="8">
        <f>AVERAGE(J8:J13)</f>
        <v>-0.02</v>
      </c>
      <c r="K14" s="9">
        <f>AVERAGE(K8:K13)</f>
        <v>-1.6666666666666666E-2</v>
      </c>
    </row>
    <row r="15" spans="1:17" x14ac:dyDescent="0.25">
      <c r="A15" s="5"/>
      <c r="B15" s="6"/>
      <c r="C15" s="6"/>
      <c r="D15" s="6"/>
      <c r="E15" s="6"/>
      <c r="F15" s="6"/>
      <c r="G15" s="20" t="s">
        <v>9</v>
      </c>
      <c r="H15" s="20"/>
      <c r="I15" s="8">
        <f>SUMSQ(I8:I13)</f>
        <v>12</v>
      </c>
      <c r="J15" s="10"/>
      <c r="K15" s="15"/>
    </row>
    <row r="16" spans="1:17" x14ac:dyDescent="0.25">
      <c r="A16" s="11"/>
      <c r="B16" s="12"/>
      <c r="C16" s="12"/>
      <c r="D16" s="12"/>
      <c r="E16" s="12"/>
      <c r="F16" s="12"/>
      <c r="G16" s="21"/>
      <c r="H16" s="21"/>
      <c r="I16" s="18"/>
      <c r="J16" s="13"/>
      <c r="K16" s="16"/>
      <c r="N16" s="5">
        <v>1</v>
      </c>
      <c r="O16" s="6">
        <v>4</v>
      </c>
      <c r="P16" s="6">
        <v>3</v>
      </c>
      <c r="Q16" s="20" t="s">
        <v>19</v>
      </c>
    </row>
    <row r="17" spans="1:22" x14ac:dyDescent="0.25">
      <c r="A17" s="2" t="s">
        <v>13</v>
      </c>
      <c r="B17" s="3">
        <f>B2+1</f>
        <v>2</v>
      </c>
      <c r="C17" s="3"/>
      <c r="D17" s="3"/>
      <c r="E17" s="3"/>
      <c r="F17" s="3"/>
      <c r="G17" s="19"/>
      <c r="H17" s="19"/>
      <c r="I17" s="17"/>
      <c r="J17" s="3"/>
      <c r="K17" s="4"/>
      <c r="N17" s="5">
        <v>2</v>
      </c>
      <c r="O17" s="6">
        <v>1</v>
      </c>
      <c r="P17" s="6">
        <v>1</v>
      </c>
      <c r="Q17" s="20" t="s">
        <v>20</v>
      </c>
    </row>
    <row r="18" spans="1:22" x14ac:dyDescent="0.25">
      <c r="A18" s="5"/>
      <c r="B18" s="6" t="s">
        <v>4</v>
      </c>
      <c r="C18" s="6" t="s">
        <v>5</v>
      </c>
      <c r="D18" s="6" t="s">
        <v>6</v>
      </c>
      <c r="E18" s="6"/>
      <c r="F18" s="6"/>
      <c r="G18" s="20"/>
      <c r="H18" s="20"/>
      <c r="I18" s="8"/>
      <c r="J18" s="6"/>
      <c r="K18" s="7"/>
      <c r="N18" s="5">
        <v>3</v>
      </c>
      <c r="O18" s="6">
        <v>2</v>
      </c>
      <c r="P18" s="6">
        <v>2</v>
      </c>
      <c r="Q18" s="20" t="s">
        <v>20</v>
      </c>
    </row>
    <row r="19" spans="1:22" x14ac:dyDescent="0.25">
      <c r="A19" s="5">
        <v>1</v>
      </c>
      <c r="B19" s="14">
        <f>B4+J14</f>
        <v>0.98</v>
      </c>
      <c r="C19" s="14">
        <f>C4+K14</f>
        <v>0.98333333333333328</v>
      </c>
      <c r="D19" s="6">
        <f>D4</f>
        <v>-1</v>
      </c>
      <c r="E19" s="6"/>
      <c r="F19" s="6"/>
      <c r="G19" s="20"/>
      <c r="H19" s="20"/>
      <c r="I19" s="8"/>
      <c r="J19" s="6"/>
      <c r="K19" s="7"/>
      <c r="N19" s="5">
        <v>4</v>
      </c>
      <c r="O19" s="6">
        <v>2</v>
      </c>
      <c r="P19" s="6">
        <v>3</v>
      </c>
      <c r="Q19" s="20" t="s">
        <v>19</v>
      </c>
    </row>
    <row r="20" spans="1:22" x14ac:dyDescent="0.25">
      <c r="A20" s="5"/>
      <c r="B20" s="6"/>
      <c r="C20" s="6"/>
      <c r="D20" s="6"/>
      <c r="E20" s="6"/>
      <c r="F20" s="6"/>
      <c r="G20" s="20"/>
      <c r="H20" s="20"/>
      <c r="I20" s="8"/>
      <c r="J20" s="6"/>
      <c r="K20" s="7"/>
      <c r="N20" s="5">
        <v>5</v>
      </c>
      <c r="O20" s="6">
        <v>5</v>
      </c>
      <c r="P20" s="6">
        <v>3</v>
      </c>
      <c r="Q20" s="20" t="s">
        <v>19</v>
      </c>
    </row>
    <row r="21" spans="1:22" x14ac:dyDescent="0.25">
      <c r="A21" s="5"/>
      <c r="B21" s="6"/>
      <c r="C21" s="6"/>
      <c r="D21" s="6"/>
      <c r="E21" s="6"/>
      <c r="F21" s="6"/>
      <c r="G21" s="20"/>
      <c r="H21" s="20"/>
      <c r="I21" s="8"/>
      <c r="J21" s="6"/>
      <c r="K21" s="7"/>
      <c r="N21" s="5">
        <v>6</v>
      </c>
      <c r="O21" s="6">
        <v>3</v>
      </c>
      <c r="P21" s="6">
        <v>2</v>
      </c>
      <c r="Q21" s="20" t="s">
        <v>20</v>
      </c>
    </row>
    <row r="22" spans="1:22" x14ac:dyDescent="0.25">
      <c r="A22" s="5" t="s">
        <v>10</v>
      </c>
      <c r="B22" s="6" t="s">
        <v>2</v>
      </c>
      <c r="C22" s="6" t="s">
        <v>3</v>
      </c>
      <c r="D22" s="6" t="s">
        <v>0</v>
      </c>
      <c r="E22" s="6" t="s">
        <v>15</v>
      </c>
      <c r="F22" s="6" t="s">
        <v>1</v>
      </c>
      <c r="G22" s="20" t="s">
        <v>17</v>
      </c>
      <c r="H22" s="20" t="s">
        <v>16</v>
      </c>
      <c r="I22" s="8" t="s">
        <v>7</v>
      </c>
      <c r="J22" s="6" t="s">
        <v>11</v>
      </c>
      <c r="K22" s="7" t="s">
        <v>12</v>
      </c>
    </row>
    <row r="23" spans="1:22" x14ac:dyDescent="0.25">
      <c r="A23" s="5">
        <v>1</v>
      </c>
      <c r="B23" s="6">
        <f>B8</f>
        <v>4</v>
      </c>
      <c r="C23" s="6">
        <f>C8</f>
        <v>3</v>
      </c>
      <c r="D23" s="8">
        <f>B23*B19+C23*C19+D19</f>
        <v>5.8699999999999992</v>
      </c>
      <c r="E23" s="6">
        <f>IF(D23&gt;=0,$F$1,$E$1)</f>
        <v>1</v>
      </c>
      <c r="F23" s="6">
        <f>$F$8</f>
        <v>1</v>
      </c>
      <c r="G23" s="20" t="str">
        <f>IF(E23&gt;0,"A","B")</f>
        <v>A</v>
      </c>
      <c r="H23" s="20" t="str">
        <f>IF(F23&gt;0,"A","B")</f>
        <v>A</v>
      </c>
      <c r="I23" s="8">
        <f t="shared" ref="I23:I28" si="6">F23-E23</f>
        <v>0</v>
      </c>
      <c r="J23" s="8">
        <f t="shared" ref="J23:J28" si="7">$C$1*I23*B23</f>
        <v>0</v>
      </c>
      <c r="K23" s="9">
        <f t="shared" ref="K23:K28" si="8">$C$1*I23*C23</f>
        <v>0</v>
      </c>
    </row>
    <row r="24" spans="1:22" x14ac:dyDescent="0.25">
      <c r="A24" s="5">
        <v>2</v>
      </c>
      <c r="B24" s="6">
        <f t="shared" ref="B24:C24" si="9">B9</f>
        <v>1</v>
      </c>
      <c r="C24" s="6">
        <f t="shared" si="9"/>
        <v>1</v>
      </c>
      <c r="D24" s="8">
        <f>B24*B19+C24*C19+D19</f>
        <v>0.96333333333333337</v>
      </c>
      <c r="E24" s="6">
        <f t="shared" ref="E24:E28" si="10">IF(D24&gt;=0,$F$1,$E$1)</f>
        <v>1</v>
      </c>
      <c r="F24" s="6">
        <f>$F$9</f>
        <v>-1</v>
      </c>
      <c r="G24" s="20" t="str">
        <f t="shared" ref="G24:G28" si="11">IF(E24&gt;0,"A","B")</f>
        <v>A</v>
      </c>
      <c r="H24" s="20" t="str">
        <f t="shared" ref="H24:H28" si="12">IF(F24&gt;0,"A","B")</f>
        <v>B</v>
      </c>
      <c r="I24" s="8">
        <f t="shared" si="6"/>
        <v>-2</v>
      </c>
      <c r="J24" s="8">
        <f t="shared" si="7"/>
        <v>-0.02</v>
      </c>
      <c r="K24" s="9">
        <f t="shared" si="8"/>
        <v>-0.02</v>
      </c>
      <c r="N24" s="5">
        <v>1</v>
      </c>
      <c r="O24" s="6">
        <v>4</v>
      </c>
      <c r="P24" s="6">
        <v>3</v>
      </c>
      <c r="Q24" s="20" t="s">
        <v>19</v>
      </c>
      <c r="S24" s="5">
        <v>2</v>
      </c>
      <c r="T24" s="6">
        <v>1</v>
      </c>
      <c r="U24" s="6">
        <v>1</v>
      </c>
      <c r="V24" s="20" t="s">
        <v>20</v>
      </c>
    </row>
    <row r="25" spans="1:22" x14ac:dyDescent="0.25">
      <c r="A25" s="5">
        <v>3</v>
      </c>
      <c r="B25" s="6">
        <f t="shared" ref="B25:C25" si="13">B10</f>
        <v>2</v>
      </c>
      <c r="C25" s="6">
        <f t="shared" si="13"/>
        <v>2</v>
      </c>
      <c r="D25" s="8">
        <f>B25*B19+C25*C19+D19</f>
        <v>2.9266666666666667</v>
      </c>
      <c r="E25" s="6">
        <f t="shared" si="10"/>
        <v>1</v>
      </c>
      <c r="F25" s="6">
        <f>$F$10</f>
        <v>-1</v>
      </c>
      <c r="G25" s="20" t="str">
        <f t="shared" si="11"/>
        <v>A</v>
      </c>
      <c r="H25" s="20" t="str">
        <f t="shared" si="12"/>
        <v>B</v>
      </c>
      <c r="I25" s="8">
        <f t="shared" si="6"/>
        <v>-2</v>
      </c>
      <c r="J25" s="8">
        <f t="shared" si="7"/>
        <v>-0.04</v>
      </c>
      <c r="K25" s="9">
        <f t="shared" si="8"/>
        <v>-0.04</v>
      </c>
      <c r="N25" s="5">
        <v>4</v>
      </c>
      <c r="O25" s="6">
        <v>2</v>
      </c>
      <c r="P25" s="6">
        <v>3</v>
      </c>
      <c r="Q25" s="20" t="s">
        <v>19</v>
      </c>
      <c r="S25" s="5">
        <v>3</v>
      </c>
      <c r="T25" s="6">
        <v>2</v>
      </c>
      <c r="U25" s="6">
        <v>2</v>
      </c>
      <c r="V25" s="20" t="s">
        <v>20</v>
      </c>
    </row>
    <row r="26" spans="1:22" x14ac:dyDescent="0.25">
      <c r="A26" s="5">
        <v>4</v>
      </c>
      <c r="B26" s="6">
        <f t="shared" ref="B26:C26" si="14">B11</f>
        <v>2</v>
      </c>
      <c r="C26" s="6">
        <f t="shared" si="14"/>
        <v>3</v>
      </c>
      <c r="D26" s="8">
        <f>B26*B19+C26*C19+D19</f>
        <v>3.91</v>
      </c>
      <c r="E26" s="6">
        <f t="shared" si="10"/>
        <v>1</v>
      </c>
      <c r="F26" s="6">
        <f>$F$11</f>
        <v>1</v>
      </c>
      <c r="G26" s="20" t="str">
        <f t="shared" si="11"/>
        <v>A</v>
      </c>
      <c r="H26" s="20" t="str">
        <f t="shared" si="12"/>
        <v>A</v>
      </c>
      <c r="I26" s="8">
        <f t="shared" si="6"/>
        <v>0</v>
      </c>
      <c r="J26" s="8">
        <f t="shared" si="7"/>
        <v>0</v>
      </c>
      <c r="K26" s="9">
        <f t="shared" si="8"/>
        <v>0</v>
      </c>
      <c r="N26" s="5">
        <v>5</v>
      </c>
      <c r="O26" s="6">
        <v>5</v>
      </c>
      <c r="P26" s="6">
        <v>3</v>
      </c>
      <c r="Q26" s="20" t="s">
        <v>19</v>
      </c>
      <c r="S26" s="5">
        <v>6</v>
      </c>
      <c r="T26" s="6">
        <v>3</v>
      </c>
      <c r="U26" s="6">
        <v>2</v>
      </c>
      <c r="V26" s="20" t="s">
        <v>20</v>
      </c>
    </row>
    <row r="27" spans="1:22" x14ac:dyDescent="0.25">
      <c r="A27" s="5">
        <v>5</v>
      </c>
      <c r="B27" s="6">
        <f t="shared" ref="B27:C27" si="15">B12</f>
        <v>5</v>
      </c>
      <c r="C27" s="6">
        <f t="shared" si="15"/>
        <v>3</v>
      </c>
      <c r="D27" s="8">
        <f>B27*B19+C27*C19+D19</f>
        <v>6.85</v>
      </c>
      <c r="E27" s="6">
        <f t="shared" si="10"/>
        <v>1</v>
      </c>
      <c r="F27" s="6">
        <f>$F$12</f>
        <v>1</v>
      </c>
      <c r="G27" s="20" t="str">
        <f t="shared" si="11"/>
        <v>A</v>
      </c>
      <c r="H27" s="20" t="str">
        <f t="shared" si="12"/>
        <v>A</v>
      </c>
      <c r="I27" s="8">
        <f t="shared" si="6"/>
        <v>0</v>
      </c>
      <c r="J27" s="8">
        <f t="shared" si="7"/>
        <v>0</v>
      </c>
      <c r="K27" s="9">
        <f t="shared" si="8"/>
        <v>0</v>
      </c>
    </row>
    <row r="28" spans="1:22" x14ac:dyDescent="0.25">
      <c r="A28" s="5">
        <v>6</v>
      </c>
      <c r="B28" s="6">
        <f t="shared" ref="B28:C28" si="16">B13</f>
        <v>3</v>
      </c>
      <c r="C28" s="6">
        <f t="shared" si="16"/>
        <v>2</v>
      </c>
      <c r="D28" s="8">
        <f>B28*B19+C28*C19+D19</f>
        <v>3.9066666666666663</v>
      </c>
      <c r="E28" s="6">
        <f t="shared" si="10"/>
        <v>1</v>
      </c>
      <c r="F28" s="6">
        <f>$F$13</f>
        <v>-1</v>
      </c>
      <c r="G28" s="20" t="str">
        <f t="shared" si="11"/>
        <v>A</v>
      </c>
      <c r="H28" s="20" t="str">
        <f t="shared" si="12"/>
        <v>B</v>
      </c>
      <c r="I28" s="8">
        <f t="shared" si="6"/>
        <v>-2</v>
      </c>
      <c r="J28" s="8">
        <f t="shared" si="7"/>
        <v>-0.06</v>
      </c>
      <c r="K28" s="9">
        <f t="shared" si="8"/>
        <v>-0.04</v>
      </c>
    </row>
    <row r="29" spans="1:22" x14ac:dyDescent="0.25">
      <c r="A29" s="5"/>
      <c r="B29" s="6"/>
      <c r="C29" s="6"/>
      <c r="D29" s="6"/>
      <c r="E29" s="6"/>
      <c r="F29" s="6"/>
      <c r="G29" s="20" t="s">
        <v>8</v>
      </c>
      <c r="H29" s="20"/>
      <c r="I29" s="8">
        <f>SUM(I23:I28)</f>
        <v>-6</v>
      </c>
      <c r="J29" s="8">
        <f>AVERAGE(J23:J28)</f>
        <v>-0.02</v>
      </c>
      <c r="K29" s="9">
        <f>AVERAGE(K23:K28)</f>
        <v>-1.6666666666666666E-2</v>
      </c>
    </row>
    <row r="30" spans="1:22" x14ac:dyDescent="0.25">
      <c r="A30" s="5"/>
      <c r="B30" s="6"/>
      <c r="C30" s="6"/>
      <c r="D30" s="6"/>
      <c r="E30" s="6"/>
      <c r="F30" s="6"/>
      <c r="G30" s="20" t="s">
        <v>9</v>
      </c>
      <c r="H30" s="20"/>
      <c r="I30" s="8">
        <f>SUMSQ(I23:I28)</f>
        <v>12</v>
      </c>
      <c r="J30" s="10"/>
      <c r="K30" s="15"/>
    </row>
    <row r="31" spans="1:22" x14ac:dyDescent="0.25">
      <c r="A31" s="11"/>
      <c r="B31" s="12"/>
      <c r="C31" s="12"/>
      <c r="D31" s="12"/>
      <c r="E31" s="12"/>
      <c r="F31" s="12"/>
      <c r="G31" s="21"/>
      <c r="H31" s="21"/>
      <c r="I31" s="18"/>
      <c r="J31" s="13"/>
      <c r="K31" s="16"/>
    </row>
    <row r="32" spans="1:22" x14ac:dyDescent="0.25">
      <c r="A32" s="2" t="s">
        <v>13</v>
      </c>
      <c r="B32" s="3">
        <f>B17+1</f>
        <v>3</v>
      </c>
      <c r="C32" s="3"/>
      <c r="D32" s="3"/>
      <c r="E32" s="3"/>
      <c r="F32" s="3"/>
      <c r="G32" s="19"/>
      <c r="H32" s="19"/>
      <c r="I32" s="17"/>
      <c r="J32" s="3"/>
      <c r="K32" s="4"/>
    </row>
    <row r="33" spans="1:11" x14ac:dyDescent="0.25">
      <c r="A33" s="5"/>
      <c r="B33" s="6" t="s">
        <v>4</v>
      </c>
      <c r="C33" s="6" t="s">
        <v>5</v>
      </c>
      <c r="D33" s="6" t="s">
        <v>6</v>
      </c>
      <c r="E33" s="6"/>
      <c r="F33" s="6"/>
      <c r="G33" s="20"/>
      <c r="H33" s="20"/>
      <c r="I33" s="8"/>
      <c r="J33" s="6"/>
      <c r="K33" s="7"/>
    </row>
    <row r="34" spans="1:11" x14ac:dyDescent="0.25">
      <c r="A34" s="5">
        <v>1</v>
      </c>
      <c r="B34" s="14">
        <f>B19+J29</f>
        <v>0.96</v>
      </c>
      <c r="C34" s="14">
        <f>C19+K29</f>
        <v>0.96666666666666656</v>
      </c>
      <c r="D34" s="6">
        <f>D19</f>
        <v>-1</v>
      </c>
      <c r="E34" s="6"/>
      <c r="F34" s="6"/>
      <c r="G34" s="20"/>
      <c r="H34" s="20"/>
      <c r="I34" s="8"/>
      <c r="J34" s="6"/>
      <c r="K34" s="7"/>
    </row>
    <row r="35" spans="1:11" x14ac:dyDescent="0.25">
      <c r="A35" s="5"/>
      <c r="B35" s="6"/>
      <c r="C35" s="6"/>
      <c r="D35" s="6"/>
      <c r="E35" s="6"/>
      <c r="F35" s="6"/>
      <c r="G35" s="20"/>
      <c r="H35" s="20"/>
      <c r="I35" s="8"/>
      <c r="J35" s="6"/>
      <c r="K35" s="7"/>
    </row>
    <row r="36" spans="1:11" x14ac:dyDescent="0.25">
      <c r="A36" s="5"/>
      <c r="B36" s="6"/>
      <c r="C36" s="6"/>
      <c r="D36" s="6"/>
      <c r="E36" s="6"/>
      <c r="F36" s="6"/>
      <c r="G36" s="20"/>
      <c r="H36" s="20"/>
      <c r="I36" s="8"/>
      <c r="J36" s="6"/>
      <c r="K36" s="7"/>
    </row>
    <row r="37" spans="1:11" x14ac:dyDescent="0.25">
      <c r="A37" s="5" t="s">
        <v>10</v>
      </c>
      <c r="B37" s="6" t="s">
        <v>2</v>
      </c>
      <c r="C37" s="6" t="s">
        <v>3</v>
      </c>
      <c r="D37" s="6" t="s">
        <v>0</v>
      </c>
      <c r="E37" s="6" t="s">
        <v>15</v>
      </c>
      <c r="F37" s="6" t="s">
        <v>1</v>
      </c>
      <c r="G37" s="20" t="s">
        <v>17</v>
      </c>
      <c r="H37" s="20" t="s">
        <v>16</v>
      </c>
      <c r="I37" s="8" t="s">
        <v>7</v>
      </c>
      <c r="J37" s="6" t="s">
        <v>11</v>
      </c>
      <c r="K37" s="7" t="s">
        <v>12</v>
      </c>
    </row>
    <row r="38" spans="1:11" x14ac:dyDescent="0.25">
      <c r="A38" s="5">
        <v>1</v>
      </c>
      <c r="B38" s="6">
        <f>B23</f>
        <v>4</v>
      </c>
      <c r="C38" s="6">
        <f>C23</f>
        <v>3</v>
      </c>
      <c r="D38" s="8">
        <f>B38*B34+C38*C34+D34</f>
        <v>5.7399999999999993</v>
      </c>
      <c r="E38" s="6">
        <f>IF(D38&gt;=0,$F$1,$E$1)</f>
        <v>1</v>
      </c>
      <c r="F38" s="6">
        <f>$F$8</f>
        <v>1</v>
      </c>
      <c r="G38" s="20" t="str">
        <f>IF(E38&gt;0,"A","B")</f>
        <v>A</v>
      </c>
      <c r="H38" s="20" t="str">
        <f>IF(F38&gt;0,"A","B")</f>
        <v>A</v>
      </c>
      <c r="I38" s="8">
        <f t="shared" ref="I38:I43" si="17">F38-E38</f>
        <v>0</v>
      </c>
      <c r="J38" s="8">
        <f t="shared" ref="J38:J43" si="18">$C$1*I38*B38</f>
        <v>0</v>
      </c>
      <c r="K38" s="9">
        <f t="shared" ref="K38:K43" si="19">$C$1*I38*C38</f>
        <v>0</v>
      </c>
    </row>
    <row r="39" spans="1:11" x14ac:dyDescent="0.25">
      <c r="A39" s="5">
        <v>2</v>
      </c>
      <c r="B39" s="6">
        <f t="shared" ref="B39:C39" si="20">B24</f>
        <v>1</v>
      </c>
      <c r="C39" s="6">
        <f t="shared" si="20"/>
        <v>1</v>
      </c>
      <c r="D39" s="8">
        <f>B39*B34+C39*C34+D34</f>
        <v>0.92666666666666653</v>
      </c>
      <c r="E39" s="6">
        <f t="shared" ref="E39:E43" si="21">IF(D39&gt;=0,$F$1,$E$1)</f>
        <v>1</v>
      </c>
      <c r="F39" s="6">
        <f>$F$9</f>
        <v>-1</v>
      </c>
      <c r="G39" s="20" t="str">
        <f t="shared" ref="G39:G43" si="22">IF(E39&gt;0,"A","B")</f>
        <v>A</v>
      </c>
      <c r="H39" s="20" t="str">
        <f t="shared" ref="H39:H43" si="23">IF(F39&gt;0,"A","B")</f>
        <v>B</v>
      </c>
      <c r="I39" s="8">
        <f t="shared" si="17"/>
        <v>-2</v>
      </c>
      <c r="J39" s="8">
        <f t="shared" si="18"/>
        <v>-0.02</v>
      </c>
      <c r="K39" s="9">
        <f t="shared" si="19"/>
        <v>-0.02</v>
      </c>
    </row>
    <row r="40" spans="1:11" x14ac:dyDescent="0.25">
      <c r="A40" s="5">
        <v>3</v>
      </c>
      <c r="B40" s="6">
        <f t="shared" ref="B40:C40" si="24">B25</f>
        <v>2</v>
      </c>
      <c r="C40" s="6">
        <f t="shared" si="24"/>
        <v>2</v>
      </c>
      <c r="D40" s="8">
        <f>B40*B34+C40*C34+D34</f>
        <v>2.8533333333333331</v>
      </c>
      <c r="E40" s="6">
        <f t="shared" si="21"/>
        <v>1</v>
      </c>
      <c r="F40" s="6">
        <f>$F$10</f>
        <v>-1</v>
      </c>
      <c r="G40" s="20" t="str">
        <f t="shared" si="22"/>
        <v>A</v>
      </c>
      <c r="H40" s="20" t="str">
        <f t="shared" si="23"/>
        <v>B</v>
      </c>
      <c r="I40" s="8">
        <f t="shared" si="17"/>
        <v>-2</v>
      </c>
      <c r="J40" s="8">
        <f t="shared" si="18"/>
        <v>-0.04</v>
      </c>
      <c r="K40" s="9">
        <f t="shared" si="19"/>
        <v>-0.04</v>
      </c>
    </row>
    <row r="41" spans="1:11" x14ac:dyDescent="0.25">
      <c r="A41" s="5">
        <v>4</v>
      </c>
      <c r="B41" s="6">
        <f t="shared" ref="B41:C41" si="25">B26</f>
        <v>2</v>
      </c>
      <c r="C41" s="6">
        <f t="shared" si="25"/>
        <v>3</v>
      </c>
      <c r="D41" s="8">
        <f>B41*B34+C41*C34+D34</f>
        <v>3.8199999999999994</v>
      </c>
      <c r="E41" s="6">
        <f t="shared" si="21"/>
        <v>1</v>
      </c>
      <c r="F41" s="6">
        <f>$F$11</f>
        <v>1</v>
      </c>
      <c r="G41" s="20" t="str">
        <f t="shared" si="22"/>
        <v>A</v>
      </c>
      <c r="H41" s="20" t="str">
        <f t="shared" si="23"/>
        <v>A</v>
      </c>
      <c r="I41" s="8">
        <f t="shared" si="17"/>
        <v>0</v>
      </c>
      <c r="J41" s="8">
        <f t="shared" si="18"/>
        <v>0</v>
      </c>
      <c r="K41" s="9">
        <f t="shared" si="19"/>
        <v>0</v>
      </c>
    </row>
    <row r="42" spans="1:11" x14ac:dyDescent="0.25">
      <c r="A42" s="5">
        <v>5</v>
      </c>
      <c r="B42" s="6">
        <f t="shared" ref="B42:C42" si="26">B27</f>
        <v>5</v>
      </c>
      <c r="C42" s="6">
        <f t="shared" si="26"/>
        <v>3</v>
      </c>
      <c r="D42" s="8">
        <f>B42*B34+C42*C34+D34</f>
        <v>6.6999999999999993</v>
      </c>
      <c r="E42" s="6">
        <f t="shared" si="21"/>
        <v>1</v>
      </c>
      <c r="F42" s="6">
        <f>$F$12</f>
        <v>1</v>
      </c>
      <c r="G42" s="20" t="str">
        <f t="shared" si="22"/>
        <v>A</v>
      </c>
      <c r="H42" s="20" t="str">
        <f t="shared" si="23"/>
        <v>A</v>
      </c>
      <c r="I42" s="8">
        <f t="shared" si="17"/>
        <v>0</v>
      </c>
      <c r="J42" s="8">
        <f t="shared" si="18"/>
        <v>0</v>
      </c>
      <c r="K42" s="9">
        <f t="shared" si="19"/>
        <v>0</v>
      </c>
    </row>
    <row r="43" spans="1:11" x14ac:dyDescent="0.25">
      <c r="A43" s="5">
        <v>6</v>
      </c>
      <c r="B43" s="6">
        <f t="shared" ref="B43:C43" si="27">B28</f>
        <v>3</v>
      </c>
      <c r="C43" s="6">
        <f t="shared" si="27"/>
        <v>2</v>
      </c>
      <c r="D43" s="8">
        <f>B43*B34+C43*C34+D34</f>
        <v>3.8133333333333326</v>
      </c>
      <c r="E43" s="6">
        <f t="shared" si="21"/>
        <v>1</v>
      </c>
      <c r="F43" s="6">
        <f>$F$13</f>
        <v>-1</v>
      </c>
      <c r="G43" s="20" t="str">
        <f t="shared" si="22"/>
        <v>A</v>
      </c>
      <c r="H43" s="20" t="str">
        <f t="shared" si="23"/>
        <v>B</v>
      </c>
      <c r="I43" s="8">
        <f t="shared" si="17"/>
        <v>-2</v>
      </c>
      <c r="J43" s="8">
        <f t="shared" si="18"/>
        <v>-0.06</v>
      </c>
      <c r="K43" s="9">
        <f t="shared" si="19"/>
        <v>-0.04</v>
      </c>
    </row>
    <row r="44" spans="1:11" x14ac:dyDescent="0.25">
      <c r="A44" s="5"/>
      <c r="B44" s="6"/>
      <c r="C44" s="6"/>
      <c r="D44" s="6"/>
      <c r="E44" s="6"/>
      <c r="F44" s="6"/>
      <c r="G44" s="20" t="s">
        <v>8</v>
      </c>
      <c r="H44" s="20"/>
      <c r="I44" s="8">
        <f>SUM(I38:I43)</f>
        <v>-6</v>
      </c>
      <c r="J44" s="8">
        <f>AVERAGE(J38:J43)</f>
        <v>-0.02</v>
      </c>
      <c r="K44" s="9">
        <f>AVERAGE(K38:K43)</f>
        <v>-1.6666666666666666E-2</v>
      </c>
    </row>
    <row r="45" spans="1:11" x14ac:dyDescent="0.25">
      <c r="A45" s="5"/>
      <c r="B45" s="6"/>
      <c r="C45" s="6"/>
      <c r="D45" s="6"/>
      <c r="E45" s="6"/>
      <c r="F45" s="6"/>
      <c r="G45" s="20" t="s">
        <v>9</v>
      </c>
      <c r="H45" s="20"/>
      <c r="I45" s="8">
        <f>SUMSQ(I38:I43)</f>
        <v>12</v>
      </c>
      <c r="J45" s="10"/>
      <c r="K45" s="15"/>
    </row>
    <row r="46" spans="1:11" x14ac:dyDescent="0.25">
      <c r="A46" s="11"/>
      <c r="B46" s="12"/>
      <c r="C46" s="12"/>
      <c r="D46" s="12"/>
      <c r="E46" s="12"/>
      <c r="F46" s="12"/>
      <c r="G46" s="21"/>
      <c r="H46" s="21"/>
      <c r="I46" s="18"/>
      <c r="J46" s="13"/>
      <c r="K46" s="16"/>
    </row>
    <row r="47" spans="1:11" x14ac:dyDescent="0.25">
      <c r="A47" s="2" t="s">
        <v>13</v>
      </c>
      <c r="B47" s="3">
        <f>B32+1</f>
        <v>4</v>
      </c>
      <c r="C47" s="3"/>
      <c r="D47" s="3"/>
      <c r="E47" s="3"/>
      <c r="F47" s="3"/>
      <c r="G47" s="19"/>
      <c r="H47" s="19"/>
      <c r="I47" s="17"/>
      <c r="J47" s="3"/>
      <c r="K47" s="4"/>
    </row>
    <row r="48" spans="1:11" x14ac:dyDescent="0.25">
      <c r="A48" s="5"/>
      <c r="B48" s="6" t="s">
        <v>4</v>
      </c>
      <c r="C48" s="6" t="s">
        <v>5</v>
      </c>
      <c r="D48" s="6" t="s">
        <v>6</v>
      </c>
      <c r="E48" s="6"/>
      <c r="F48" s="6"/>
      <c r="G48" s="20"/>
      <c r="H48" s="20"/>
      <c r="I48" s="8"/>
      <c r="J48" s="6"/>
      <c r="K48" s="7"/>
    </row>
    <row r="49" spans="1:11" x14ac:dyDescent="0.25">
      <c r="A49" s="5">
        <v>1</v>
      </c>
      <c r="B49" s="14">
        <f>B34+J44</f>
        <v>0.94</v>
      </c>
      <c r="C49" s="14">
        <f>C34+K44</f>
        <v>0.94999999999999984</v>
      </c>
      <c r="D49" s="6">
        <f>D34</f>
        <v>-1</v>
      </c>
      <c r="E49" s="6"/>
      <c r="F49" s="6"/>
      <c r="G49" s="20"/>
      <c r="H49" s="20"/>
      <c r="I49" s="8"/>
      <c r="J49" s="6"/>
      <c r="K49" s="7"/>
    </row>
    <row r="50" spans="1:11" x14ac:dyDescent="0.25">
      <c r="A50" s="5"/>
      <c r="B50" s="6"/>
      <c r="C50" s="6"/>
      <c r="D50" s="6"/>
      <c r="E50" s="6"/>
      <c r="F50" s="6"/>
      <c r="G50" s="20"/>
      <c r="H50" s="20"/>
      <c r="I50" s="8"/>
      <c r="J50" s="6"/>
      <c r="K50" s="7"/>
    </row>
    <row r="51" spans="1:11" x14ac:dyDescent="0.25">
      <c r="A51" s="5"/>
      <c r="B51" s="6"/>
      <c r="C51" s="6"/>
      <c r="D51" s="6"/>
      <c r="E51" s="6"/>
      <c r="F51" s="6"/>
      <c r="G51" s="20"/>
      <c r="H51" s="20"/>
      <c r="I51" s="8"/>
      <c r="J51" s="6"/>
      <c r="K51" s="7"/>
    </row>
    <row r="52" spans="1:11" x14ac:dyDescent="0.25">
      <c r="A52" s="5" t="s">
        <v>10</v>
      </c>
      <c r="B52" s="6" t="s">
        <v>2</v>
      </c>
      <c r="C52" s="6" t="s">
        <v>3</v>
      </c>
      <c r="D52" s="6" t="s">
        <v>0</v>
      </c>
      <c r="E52" s="6" t="s">
        <v>15</v>
      </c>
      <c r="F52" s="6" t="s">
        <v>1</v>
      </c>
      <c r="G52" s="20" t="s">
        <v>17</v>
      </c>
      <c r="H52" s="20" t="s">
        <v>16</v>
      </c>
      <c r="I52" s="8" t="s">
        <v>7</v>
      </c>
      <c r="J52" s="6" t="s">
        <v>11</v>
      </c>
      <c r="K52" s="7" t="s">
        <v>12</v>
      </c>
    </row>
    <row r="53" spans="1:11" x14ac:dyDescent="0.25">
      <c r="A53" s="5">
        <v>1</v>
      </c>
      <c r="B53" s="6">
        <f>B38</f>
        <v>4</v>
      </c>
      <c r="C53" s="6">
        <f>C38</f>
        <v>3</v>
      </c>
      <c r="D53" s="8">
        <f>B53*B49+C53*C49+D49</f>
        <v>5.6099999999999994</v>
      </c>
      <c r="E53" s="6">
        <f>IF(D53&gt;=0,$F$1,$E$1)</f>
        <v>1</v>
      </c>
      <c r="F53" s="6">
        <f>$F$8</f>
        <v>1</v>
      </c>
      <c r="G53" s="20" t="str">
        <f>IF(E53&gt;0,"A","B")</f>
        <v>A</v>
      </c>
      <c r="H53" s="20" t="str">
        <f>IF(F53&gt;0,"A","B")</f>
        <v>A</v>
      </c>
      <c r="I53" s="8">
        <f t="shared" ref="I53:I58" si="28">F53-E53</f>
        <v>0</v>
      </c>
      <c r="J53" s="8">
        <f t="shared" ref="J53:J58" si="29">$C$1*I53*B53</f>
        <v>0</v>
      </c>
      <c r="K53" s="9">
        <f t="shared" ref="K53:K58" si="30">$C$1*I53*C53</f>
        <v>0</v>
      </c>
    </row>
    <row r="54" spans="1:11" x14ac:dyDescent="0.25">
      <c r="A54" s="5">
        <v>2</v>
      </c>
      <c r="B54" s="6">
        <f t="shared" ref="B54:C54" si="31">B39</f>
        <v>1</v>
      </c>
      <c r="C54" s="6">
        <f t="shared" si="31"/>
        <v>1</v>
      </c>
      <c r="D54" s="8">
        <f>B54*B49+C54*C49+D49</f>
        <v>0.88999999999999968</v>
      </c>
      <c r="E54" s="6">
        <f t="shared" ref="E54:E58" si="32">IF(D54&gt;=0,$F$1,$E$1)</f>
        <v>1</v>
      </c>
      <c r="F54" s="6">
        <f>$F$9</f>
        <v>-1</v>
      </c>
      <c r="G54" s="20" t="str">
        <f t="shared" ref="G54:G58" si="33">IF(E54&gt;0,"A","B")</f>
        <v>A</v>
      </c>
      <c r="H54" s="20" t="str">
        <f t="shared" ref="H54:H58" si="34">IF(F54&gt;0,"A","B")</f>
        <v>B</v>
      </c>
      <c r="I54" s="8">
        <f t="shared" si="28"/>
        <v>-2</v>
      </c>
      <c r="J54" s="8">
        <f t="shared" si="29"/>
        <v>-0.02</v>
      </c>
      <c r="K54" s="9">
        <f t="shared" si="30"/>
        <v>-0.02</v>
      </c>
    </row>
    <row r="55" spans="1:11" x14ac:dyDescent="0.25">
      <c r="A55" s="5">
        <v>3</v>
      </c>
      <c r="B55" s="6">
        <f t="shared" ref="B55:C55" si="35">B40</f>
        <v>2</v>
      </c>
      <c r="C55" s="6">
        <f t="shared" si="35"/>
        <v>2</v>
      </c>
      <c r="D55" s="8">
        <f>B55*B49+C55*C49+D49</f>
        <v>2.7799999999999994</v>
      </c>
      <c r="E55" s="6">
        <f t="shared" si="32"/>
        <v>1</v>
      </c>
      <c r="F55" s="6">
        <f>$F$10</f>
        <v>-1</v>
      </c>
      <c r="G55" s="20" t="str">
        <f t="shared" si="33"/>
        <v>A</v>
      </c>
      <c r="H55" s="20" t="str">
        <f t="shared" si="34"/>
        <v>B</v>
      </c>
      <c r="I55" s="8">
        <f t="shared" si="28"/>
        <v>-2</v>
      </c>
      <c r="J55" s="8">
        <f t="shared" si="29"/>
        <v>-0.04</v>
      </c>
      <c r="K55" s="9">
        <f t="shared" si="30"/>
        <v>-0.04</v>
      </c>
    </row>
    <row r="56" spans="1:11" x14ac:dyDescent="0.25">
      <c r="A56" s="5">
        <v>4</v>
      </c>
      <c r="B56" s="6">
        <f t="shared" ref="B56:C56" si="36">B41</f>
        <v>2</v>
      </c>
      <c r="C56" s="6">
        <f t="shared" si="36"/>
        <v>3</v>
      </c>
      <c r="D56" s="8">
        <f>B56*B49+C56*C49+D49</f>
        <v>3.7299999999999995</v>
      </c>
      <c r="E56" s="6">
        <f t="shared" si="32"/>
        <v>1</v>
      </c>
      <c r="F56" s="6">
        <f>$F$11</f>
        <v>1</v>
      </c>
      <c r="G56" s="20" t="str">
        <f t="shared" si="33"/>
        <v>A</v>
      </c>
      <c r="H56" s="20" t="str">
        <f t="shared" si="34"/>
        <v>A</v>
      </c>
      <c r="I56" s="8">
        <f t="shared" si="28"/>
        <v>0</v>
      </c>
      <c r="J56" s="8">
        <f t="shared" si="29"/>
        <v>0</v>
      </c>
      <c r="K56" s="9">
        <f t="shared" si="30"/>
        <v>0</v>
      </c>
    </row>
    <row r="57" spans="1:11" x14ac:dyDescent="0.25">
      <c r="A57" s="5">
        <v>5</v>
      </c>
      <c r="B57" s="6">
        <f t="shared" ref="B57:C57" si="37">B42</f>
        <v>5</v>
      </c>
      <c r="C57" s="6">
        <f t="shared" si="37"/>
        <v>3</v>
      </c>
      <c r="D57" s="8">
        <f>B57*B49+C57*C49+D49</f>
        <v>6.5499999999999989</v>
      </c>
      <c r="E57" s="6">
        <f t="shared" si="32"/>
        <v>1</v>
      </c>
      <c r="F57" s="6">
        <f>$F$12</f>
        <v>1</v>
      </c>
      <c r="G57" s="20" t="str">
        <f t="shared" si="33"/>
        <v>A</v>
      </c>
      <c r="H57" s="20" t="str">
        <f t="shared" si="34"/>
        <v>A</v>
      </c>
      <c r="I57" s="8">
        <f t="shared" si="28"/>
        <v>0</v>
      </c>
      <c r="J57" s="8">
        <f t="shared" si="29"/>
        <v>0</v>
      </c>
      <c r="K57" s="9">
        <f t="shared" si="30"/>
        <v>0</v>
      </c>
    </row>
    <row r="58" spans="1:11" x14ac:dyDescent="0.25">
      <c r="A58" s="5">
        <v>6</v>
      </c>
      <c r="B58" s="6">
        <f t="shared" ref="B58:C58" si="38">B43</f>
        <v>3</v>
      </c>
      <c r="C58" s="6">
        <f t="shared" si="38"/>
        <v>2</v>
      </c>
      <c r="D58" s="8">
        <f>B58*B49+C58*C49+D49</f>
        <v>3.7199999999999998</v>
      </c>
      <c r="E58" s="6">
        <f t="shared" si="32"/>
        <v>1</v>
      </c>
      <c r="F58" s="6">
        <f>$F$13</f>
        <v>-1</v>
      </c>
      <c r="G58" s="20" t="str">
        <f t="shared" si="33"/>
        <v>A</v>
      </c>
      <c r="H58" s="20" t="str">
        <f t="shared" si="34"/>
        <v>B</v>
      </c>
      <c r="I58" s="8">
        <f t="shared" si="28"/>
        <v>-2</v>
      </c>
      <c r="J58" s="8">
        <f t="shared" si="29"/>
        <v>-0.06</v>
      </c>
      <c r="K58" s="9">
        <f t="shared" si="30"/>
        <v>-0.04</v>
      </c>
    </row>
    <row r="59" spans="1:11" x14ac:dyDescent="0.25">
      <c r="A59" s="5"/>
      <c r="B59" s="6"/>
      <c r="C59" s="6"/>
      <c r="D59" s="6"/>
      <c r="E59" s="6"/>
      <c r="F59" s="6"/>
      <c r="G59" s="20" t="s">
        <v>8</v>
      </c>
      <c r="H59" s="20"/>
      <c r="I59" s="8">
        <f>SUM(I53:I58)</f>
        <v>-6</v>
      </c>
      <c r="J59" s="8">
        <f>AVERAGE(J53:J58)</f>
        <v>-0.02</v>
      </c>
      <c r="K59" s="9">
        <f>AVERAGE(K53:K58)</f>
        <v>-1.6666666666666666E-2</v>
      </c>
    </row>
    <row r="60" spans="1:11" x14ac:dyDescent="0.25">
      <c r="A60" s="5"/>
      <c r="B60" s="6"/>
      <c r="C60" s="6"/>
      <c r="D60" s="6"/>
      <c r="E60" s="6"/>
      <c r="F60" s="6"/>
      <c r="G60" s="20" t="s">
        <v>9</v>
      </c>
      <c r="H60" s="20"/>
      <c r="I60" s="8">
        <f>SUMSQ(I53:I58)</f>
        <v>12</v>
      </c>
      <c r="J60" s="10"/>
      <c r="K60" s="15"/>
    </row>
    <row r="61" spans="1:11" x14ac:dyDescent="0.25">
      <c r="A61" s="11"/>
      <c r="B61" s="12"/>
      <c r="C61" s="12"/>
      <c r="D61" s="12"/>
      <c r="E61" s="12"/>
      <c r="F61" s="12"/>
      <c r="G61" s="21"/>
      <c r="H61" s="21"/>
      <c r="I61" s="18"/>
      <c r="J61" s="13"/>
      <c r="K61" s="16"/>
    </row>
    <row r="62" spans="1:11" x14ac:dyDescent="0.25">
      <c r="A62" s="2" t="s">
        <v>13</v>
      </c>
      <c r="B62" s="3">
        <f>B47+1</f>
        <v>5</v>
      </c>
      <c r="C62" s="3"/>
      <c r="D62" s="3"/>
      <c r="E62" s="3"/>
      <c r="F62" s="3"/>
      <c r="G62" s="19"/>
      <c r="H62" s="19"/>
      <c r="I62" s="17"/>
      <c r="J62" s="3"/>
      <c r="K62" s="4"/>
    </row>
    <row r="63" spans="1:11" x14ac:dyDescent="0.25">
      <c r="A63" s="5"/>
      <c r="B63" s="6" t="s">
        <v>4</v>
      </c>
      <c r="C63" s="6" t="s">
        <v>5</v>
      </c>
      <c r="D63" s="6" t="s">
        <v>6</v>
      </c>
      <c r="E63" s="6"/>
      <c r="F63" s="6"/>
      <c r="G63" s="20"/>
      <c r="H63" s="20"/>
      <c r="I63" s="8"/>
      <c r="J63" s="6"/>
      <c r="K63" s="7"/>
    </row>
    <row r="64" spans="1:11" x14ac:dyDescent="0.25">
      <c r="A64" s="5">
        <v>1</v>
      </c>
      <c r="B64" s="14">
        <f>B49+J59</f>
        <v>0.91999999999999993</v>
      </c>
      <c r="C64" s="14">
        <f>C49+K59</f>
        <v>0.93333333333333313</v>
      </c>
      <c r="D64" s="6">
        <f>D49</f>
        <v>-1</v>
      </c>
      <c r="E64" s="6"/>
      <c r="F64" s="6"/>
      <c r="G64" s="20"/>
      <c r="H64" s="20"/>
      <c r="I64" s="8"/>
      <c r="J64" s="6"/>
      <c r="K64" s="7"/>
    </row>
    <row r="65" spans="1:11" x14ac:dyDescent="0.25">
      <c r="A65" s="5"/>
      <c r="B65" s="6"/>
      <c r="C65" s="6"/>
      <c r="D65" s="6"/>
      <c r="E65" s="6"/>
      <c r="F65" s="6"/>
      <c r="G65" s="20"/>
      <c r="H65" s="20"/>
      <c r="I65" s="8"/>
      <c r="J65" s="6"/>
      <c r="K65" s="7"/>
    </row>
    <row r="66" spans="1:11" x14ac:dyDescent="0.25">
      <c r="A66" s="5"/>
      <c r="B66" s="6"/>
      <c r="C66" s="6"/>
      <c r="D66" s="6"/>
      <c r="E66" s="6"/>
      <c r="F66" s="6"/>
      <c r="G66" s="20"/>
      <c r="H66" s="20"/>
      <c r="I66" s="8"/>
      <c r="J66" s="6"/>
      <c r="K66" s="7"/>
    </row>
    <row r="67" spans="1:11" x14ac:dyDescent="0.25">
      <c r="A67" s="5" t="s">
        <v>10</v>
      </c>
      <c r="B67" s="6" t="s">
        <v>2</v>
      </c>
      <c r="C67" s="6" t="s">
        <v>3</v>
      </c>
      <c r="D67" s="6" t="s">
        <v>0</v>
      </c>
      <c r="E67" s="6" t="s">
        <v>15</v>
      </c>
      <c r="F67" s="6" t="s">
        <v>1</v>
      </c>
      <c r="G67" s="20" t="s">
        <v>17</v>
      </c>
      <c r="H67" s="20" t="s">
        <v>16</v>
      </c>
      <c r="I67" s="8" t="s">
        <v>7</v>
      </c>
      <c r="J67" s="6" t="s">
        <v>11</v>
      </c>
      <c r="K67" s="7" t="s">
        <v>12</v>
      </c>
    </row>
    <row r="68" spans="1:11" x14ac:dyDescent="0.25">
      <c r="A68" s="5">
        <v>1</v>
      </c>
      <c r="B68" s="6">
        <f>B53</f>
        <v>4</v>
      </c>
      <c r="C68" s="6">
        <f>C53</f>
        <v>3</v>
      </c>
      <c r="D68" s="8">
        <f>B68*B64+C68*C64+D64</f>
        <v>5.4799999999999986</v>
      </c>
      <c r="E68" s="6">
        <f>IF(D68&gt;=0,$F$1,$E$1)</f>
        <v>1</v>
      </c>
      <c r="F68" s="6">
        <f>$F$8</f>
        <v>1</v>
      </c>
      <c r="G68" s="20" t="str">
        <f>IF(E68&gt;0,"A","B")</f>
        <v>A</v>
      </c>
      <c r="H68" s="20" t="str">
        <f>IF(F68&gt;0,"A","B")</f>
        <v>A</v>
      </c>
      <c r="I68" s="8">
        <f t="shared" ref="I68:I73" si="39">F68-E68</f>
        <v>0</v>
      </c>
      <c r="J68" s="8">
        <f t="shared" ref="J68:J73" si="40">$C$1*I68*B68</f>
        <v>0</v>
      </c>
      <c r="K68" s="9">
        <f t="shared" ref="K68:K73" si="41">$C$1*I68*C68</f>
        <v>0</v>
      </c>
    </row>
    <row r="69" spans="1:11" x14ac:dyDescent="0.25">
      <c r="A69" s="5">
        <v>2</v>
      </c>
      <c r="B69" s="6">
        <f t="shared" ref="B69:C69" si="42">B54</f>
        <v>1</v>
      </c>
      <c r="C69" s="6">
        <f t="shared" si="42"/>
        <v>1</v>
      </c>
      <c r="D69" s="8">
        <f>B69*B64+C69*C64+D64</f>
        <v>0.85333333333333306</v>
      </c>
      <c r="E69" s="6">
        <f t="shared" ref="E69:E73" si="43">IF(D69&gt;=0,$F$1,$E$1)</f>
        <v>1</v>
      </c>
      <c r="F69" s="6">
        <f>$F$9</f>
        <v>-1</v>
      </c>
      <c r="G69" s="20" t="str">
        <f t="shared" ref="G69:G73" si="44">IF(E69&gt;0,"A","B")</f>
        <v>A</v>
      </c>
      <c r="H69" s="20" t="str">
        <f t="shared" ref="H69:H73" si="45">IF(F69&gt;0,"A","B")</f>
        <v>B</v>
      </c>
      <c r="I69" s="8">
        <f t="shared" si="39"/>
        <v>-2</v>
      </c>
      <c r="J69" s="8">
        <f t="shared" si="40"/>
        <v>-0.02</v>
      </c>
      <c r="K69" s="9">
        <f t="shared" si="41"/>
        <v>-0.02</v>
      </c>
    </row>
    <row r="70" spans="1:11" x14ac:dyDescent="0.25">
      <c r="A70" s="5">
        <v>3</v>
      </c>
      <c r="B70" s="6">
        <f t="shared" ref="B70:C70" si="46">B55</f>
        <v>2</v>
      </c>
      <c r="C70" s="6">
        <f t="shared" si="46"/>
        <v>2</v>
      </c>
      <c r="D70" s="8">
        <f>B70*B64+C70*C64+D64</f>
        <v>2.7066666666666661</v>
      </c>
      <c r="E70" s="6">
        <f t="shared" si="43"/>
        <v>1</v>
      </c>
      <c r="F70" s="6">
        <f>$F$10</f>
        <v>-1</v>
      </c>
      <c r="G70" s="20" t="str">
        <f t="shared" si="44"/>
        <v>A</v>
      </c>
      <c r="H70" s="20" t="str">
        <f t="shared" si="45"/>
        <v>B</v>
      </c>
      <c r="I70" s="8">
        <f t="shared" si="39"/>
        <v>-2</v>
      </c>
      <c r="J70" s="8">
        <f t="shared" si="40"/>
        <v>-0.04</v>
      </c>
      <c r="K70" s="9">
        <f t="shared" si="41"/>
        <v>-0.04</v>
      </c>
    </row>
    <row r="71" spans="1:11" x14ac:dyDescent="0.25">
      <c r="A71" s="5">
        <v>4</v>
      </c>
      <c r="B71" s="6">
        <f t="shared" ref="B71:C71" si="47">B56</f>
        <v>2</v>
      </c>
      <c r="C71" s="6">
        <f t="shared" si="47"/>
        <v>3</v>
      </c>
      <c r="D71" s="8">
        <f>B71*B64+C71*C64+D64</f>
        <v>3.6399999999999988</v>
      </c>
      <c r="E71" s="6">
        <f t="shared" si="43"/>
        <v>1</v>
      </c>
      <c r="F71" s="6">
        <f>$F$11</f>
        <v>1</v>
      </c>
      <c r="G71" s="20" t="str">
        <f t="shared" si="44"/>
        <v>A</v>
      </c>
      <c r="H71" s="20" t="str">
        <f t="shared" si="45"/>
        <v>A</v>
      </c>
      <c r="I71" s="8">
        <f t="shared" si="39"/>
        <v>0</v>
      </c>
      <c r="J71" s="8">
        <f t="shared" si="40"/>
        <v>0</v>
      </c>
      <c r="K71" s="9">
        <f t="shared" si="41"/>
        <v>0</v>
      </c>
    </row>
    <row r="72" spans="1:11" x14ac:dyDescent="0.25">
      <c r="A72" s="5">
        <v>5</v>
      </c>
      <c r="B72" s="6">
        <f t="shared" ref="B72:C72" si="48">B57</f>
        <v>5</v>
      </c>
      <c r="C72" s="6">
        <f t="shared" si="48"/>
        <v>3</v>
      </c>
      <c r="D72" s="8">
        <f>B72*B64+C72*C64+D64</f>
        <v>6.3999999999999986</v>
      </c>
      <c r="E72" s="6">
        <f t="shared" si="43"/>
        <v>1</v>
      </c>
      <c r="F72" s="6">
        <f>$F$12</f>
        <v>1</v>
      </c>
      <c r="G72" s="20" t="str">
        <f t="shared" si="44"/>
        <v>A</v>
      </c>
      <c r="H72" s="20" t="str">
        <f t="shared" si="45"/>
        <v>A</v>
      </c>
      <c r="I72" s="8">
        <f t="shared" si="39"/>
        <v>0</v>
      </c>
      <c r="J72" s="8">
        <f t="shared" si="40"/>
        <v>0</v>
      </c>
      <c r="K72" s="9">
        <f t="shared" si="41"/>
        <v>0</v>
      </c>
    </row>
    <row r="73" spans="1:11" x14ac:dyDescent="0.25">
      <c r="A73" s="5">
        <v>6</v>
      </c>
      <c r="B73" s="6">
        <f t="shared" ref="B73:C73" si="49">B58</f>
        <v>3</v>
      </c>
      <c r="C73" s="6">
        <f t="shared" si="49"/>
        <v>2</v>
      </c>
      <c r="D73" s="8">
        <f>B73*B64+C73*C64+D64</f>
        <v>3.626666666666666</v>
      </c>
      <c r="E73" s="6">
        <f t="shared" si="43"/>
        <v>1</v>
      </c>
      <c r="F73" s="6">
        <f>$F$13</f>
        <v>-1</v>
      </c>
      <c r="G73" s="20" t="str">
        <f t="shared" si="44"/>
        <v>A</v>
      </c>
      <c r="H73" s="20" t="str">
        <f t="shared" si="45"/>
        <v>B</v>
      </c>
      <c r="I73" s="8">
        <f t="shared" si="39"/>
        <v>-2</v>
      </c>
      <c r="J73" s="8">
        <f t="shared" si="40"/>
        <v>-0.06</v>
      </c>
      <c r="K73" s="9">
        <f t="shared" si="41"/>
        <v>-0.04</v>
      </c>
    </row>
    <row r="74" spans="1:11" x14ac:dyDescent="0.25">
      <c r="A74" s="5"/>
      <c r="B74" s="6"/>
      <c r="C74" s="6"/>
      <c r="D74" s="6"/>
      <c r="E74" s="6"/>
      <c r="F74" s="6"/>
      <c r="G74" s="20" t="s">
        <v>8</v>
      </c>
      <c r="H74" s="20"/>
      <c r="I74" s="8">
        <f>SUM(I68:I73)</f>
        <v>-6</v>
      </c>
      <c r="J74" s="8">
        <f>AVERAGE(J68:J73)</f>
        <v>-0.02</v>
      </c>
      <c r="K74" s="9">
        <f>AVERAGE(K68:K73)</f>
        <v>-1.6666666666666666E-2</v>
      </c>
    </row>
    <row r="75" spans="1:11" x14ac:dyDescent="0.25">
      <c r="A75" s="5"/>
      <c r="B75" s="6"/>
      <c r="C75" s="6"/>
      <c r="D75" s="6"/>
      <c r="E75" s="6"/>
      <c r="F75" s="6"/>
      <c r="G75" s="20" t="s">
        <v>9</v>
      </c>
      <c r="H75" s="20"/>
      <c r="I75" s="8">
        <f>SUMSQ(I68:I73)</f>
        <v>12</v>
      </c>
      <c r="J75" s="10"/>
      <c r="K75" s="15"/>
    </row>
    <row r="76" spans="1:11" x14ac:dyDescent="0.25">
      <c r="A76" s="11"/>
      <c r="B76" s="12"/>
      <c r="C76" s="12"/>
      <c r="D76" s="12"/>
      <c r="E76" s="12"/>
      <c r="F76" s="12"/>
      <c r="G76" s="21"/>
      <c r="H76" s="21"/>
      <c r="I76" s="18"/>
      <c r="J76" s="13"/>
      <c r="K76" s="16"/>
    </row>
    <row r="77" spans="1:11" x14ac:dyDescent="0.25">
      <c r="A77" s="2" t="s">
        <v>13</v>
      </c>
      <c r="B77" s="3">
        <f>B62+1</f>
        <v>6</v>
      </c>
      <c r="C77" s="3"/>
      <c r="D77" s="3"/>
      <c r="E77" s="3"/>
      <c r="F77" s="3"/>
      <c r="G77" s="19"/>
      <c r="H77" s="19"/>
      <c r="I77" s="17"/>
      <c r="J77" s="3"/>
      <c r="K77" s="4"/>
    </row>
    <row r="78" spans="1:11" x14ac:dyDescent="0.25">
      <c r="A78" s="5"/>
      <c r="B78" s="6" t="s">
        <v>4</v>
      </c>
      <c r="C78" s="6" t="s">
        <v>5</v>
      </c>
      <c r="D78" s="6" t="s">
        <v>6</v>
      </c>
      <c r="E78" s="6"/>
      <c r="F78" s="6"/>
      <c r="G78" s="20"/>
      <c r="H78" s="20"/>
      <c r="I78" s="8"/>
      <c r="J78" s="6"/>
      <c r="K78" s="7"/>
    </row>
    <row r="79" spans="1:11" x14ac:dyDescent="0.25">
      <c r="A79" s="5">
        <v>1</v>
      </c>
      <c r="B79" s="14">
        <f>B64+J74</f>
        <v>0.89999999999999991</v>
      </c>
      <c r="C79" s="14">
        <f>C64+K74</f>
        <v>0.91666666666666641</v>
      </c>
      <c r="D79" s="6">
        <f>D64</f>
        <v>-1</v>
      </c>
      <c r="E79" s="6"/>
      <c r="F79" s="6"/>
      <c r="G79" s="20"/>
      <c r="H79" s="20"/>
      <c r="I79" s="8"/>
      <c r="J79" s="6"/>
      <c r="K79" s="7"/>
    </row>
    <row r="80" spans="1:11" x14ac:dyDescent="0.25">
      <c r="A80" s="5"/>
      <c r="B80" s="6"/>
      <c r="C80" s="6"/>
      <c r="D80" s="6"/>
      <c r="E80" s="6"/>
      <c r="F80" s="6"/>
      <c r="G80" s="20"/>
      <c r="H80" s="20"/>
      <c r="I80" s="8"/>
      <c r="J80" s="6"/>
      <c r="K80" s="7"/>
    </row>
    <row r="81" spans="1:11" x14ac:dyDescent="0.25">
      <c r="A81" s="5"/>
      <c r="B81" s="6"/>
      <c r="C81" s="6"/>
      <c r="D81" s="6"/>
      <c r="E81" s="6"/>
      <c r="F81" s="6"/>
      <c r="G81" s="20"/>
      <c r="H81" s="20"/>
      <c r="I81" s="8"/>
      <c r="J81" s="6"/>
      <c r="K81" s="7"/>
    </row>
    <row r="82" spans="1:11" x14ac:dyDescent="0.25">
      <c r="A82" s="5" t="s">
        <v>10</v>
      </c>
      <c r="B82" s="6" t="s">
        <v>2</v>
      </c>
      <c r="C82" s="6" t="s">
        <v>3</v>
      </c>
      <c r="D82" s="6" t="s">
        <v>0</v>
      </c>
      <c r="E82" s="6" t="s">
        <v>15</v>
      </c>
      <c r="F82" s="6" t="s">
        <v>1</v>
      </c>
      <c r="G82" s="20" t="s">
        <v>17</v>
      </c>
      <c r="H82" s="20" t="s">
        <v>16</v>
      </c>
      <c r="I82" s="8" t="s">
        <v>7</v>
      </c>
      <c r="J82" s="6" t="s">
        <v>11</v>
      </c>
      <c r="K82" s="7" t="s">
        <v>12</v>
      </c>
    </row>
    <row r="83" spans="1:11" x14ac:dyDescent="0.25">
      <c r="A83" s="5">
        <v>1</v>
      </c>
      <c r="B83" s="6">
        <f>B68</f>
        <v>4</v>
      </c>
      <c r="C83" s="6">
        <f>C68</f>
        <v>3</v>
      </c>
      <c r="D83" s="8">
        <f>B83*B79+C83*C79+D79</f>
        <v>5.3499999999999988</v>
      </c>
      <c r="E83" s="6">
        <f>IF(D83&gt;=0,$F$1,$E$1)</f>
        <v>1</v>
      </c>
      <c r="F83" s="6">
        <f>$F$8</f>
        <v>1</v>
      </c>
      <c r="G83" s="20" t="str">
        <f>IF(E83&gt;0,"A","B")</f>
        <v>A</v>
      </c>
      <c r="H83" s="20" t="str">
        <f>IF(F83&gt;0,"A","B")</f>
        <v>A</v>
      </c>
      <c r="I83" s="8">
        <f t="shared" ref="I83:I88" si="50">F83-E83</f>
        <v>0</v>
      </c>
      <c r="J83" s="8">
        <f t="shared" ref="J83:J88" si="51">$C$1*I83*B83</f>
        <v>0</v>
      </c>
      <c r="K83" s="9">
        <f t="shared" ref="K83:K88" si="52">$C$1*I83*C83</f>
        <v>0</v>
      </c>
    </row>
    <row r="84" spans="1:11" x14ac:dyDescent="0.25">
      <c r="A84" s="5">
        <v>2</v>
      </c>
      <c r="B84" s="6">
        <f t="shared" ref="B84:C84" si="53">B69</f>
        <v>1</v>
      </c>
      <c r="C84" s="6">
        <f t="shared" si="53"/>
        <v>1</v>
      </c>
      <c r="D84" s="8">
        <f>B84*B79+C84*C79+D79</f>
        <v>0.81666666666666643</v>
      </c>
      <c r="E84" s="6">
        <f t="shared" ref="E84:E88" si="54">IF(D84&gt;=0,$F$1,$E$1)</f>
        <v>1</v>
      </c>
      <c r="F84" s="6">
        <f>$F$9</f>
        <v>-1</v>
      </c>
      <c r="G84" s="20" t="str">
        <f t="shared" ref="G84:G88" si="55">IF(E84&gt;0,"A","B")</f>
        <v>A</v>
      </c>
      <c r="H84" s="20" t="str">
        <f t="shared" ref="H84:H88" si="56">IF(F84&gt;0,"A","B")</f>
        <v>B</v>
      </c>
      <c r="I84" s="8">
        <f t="shared" si="50"/>
        <v>-2</v>
      </c>
      <c r="J84" s="8">
        <f t="shared" si="51"/>
        <v>-0.02</v>
      </c>
      <c r="K84" s="9">
        <f t="shared" si="52"/>
        <v>-0.02</v>
      </c>
    </row>
    <row r="85" spans="1:11" x14ac:dyDescent="0.25">
      <c r="A85" s="5">
        <v>3</v>
      </c>
      <c r="B85" s="6">
        <f t="shared" ref="B85:C85" si="57">B70</f>
        <v>2</v>
      </c>
      <c r="C85" s="6">
        <f t="shared" si="57"/>
        <v>2</v>
      </c>
      <c r="D85" s="8">
        <f>B85*B79+C85*C79+D79</f>
        <v>2.6333333333333329</v>
      </c>
      <c r="E85" s="6">
        <f t="shared" si="54"/>
        <v>1</v>
      </c>
      <c r="F85" s="6">
        <f>$F$10</f>
        <v>-1</v>
      </c>
      <c r="G85" s="20" t="str">
        <f t="shared" si="55"/>
        <v>A</v>
      </c>
      <c r="H85" s="20" t="str">
        <f t="shared" si="56"/>
        <v>B</v>
      </c>
      <c r="I85" s="8">
        <f t="shared" si="50"/>
        <v>-2</v>
      </c>
      <c r="J85" s="8">
        <f t="shared" si="51"/>
        <v>-0.04</v>
      </c>
      <c r="K85" s="9">
        <f t="shared" si="52"/>
        <v>-0.04</v>
      </c>
    </row>
    <row r="86" spans="1:11" x14ac:dyDescent="0.25">
      <c r="A86" s="5">
        <v>4</v>
      </c>
      <c r="B86" s="6">
        <f t="shared" ref="B86:C86" si="58">B71</f>
        <v>2</v>
      </c>
      <c r="C86" s="6">
        <f t="shared" si="58"/>
        <v>3</v>
      </c>
      <c r="D86" s="8">
        <f>B86*B79+C86*C79+D79</f>
        <v>3.5499999999999989</v>
      </c>
      <c r="E86" s="6">
        <f t="shared" si="54"/>
        <v>1</v>
      </c>
      <c r="F86" s="6">
        <f>$F$11</f>
        <v>1</v>
      </c>
      <c r="G86" s="20" t="str">
        <f t="shared" si="55"/>
        <v>A</v>
      </c>
      <c r="H86" s="20" t="str">
        <f t="shared" si="56"/>
        <v>A</v>
      </c>
      <c r="I86" s="8">
        <f t="shared" si="50"/>
        <v>0</v>
      </c>
      <c r="J86" s="8">
        <f t="shared" si="51"/>
        <v>0</v>
      </c>
      <c r="K86" s="9">
        <f t="shared" si="52"/>
        <v>0</v>
      </c>
    </row>
    <row r="87" spans="1:11" x14ac:dyDescent="0.25">
      <c r="A87" s="5">
        <v>5</v>
      </c>
      <c r="B87" s="6">
        <f t="shared" ref="B87:C87" si="59">B72</f>
        <v>5</v>
      </c>
      <c r="C87" s="6">
        <f t="shared" si="59"/>
        <v>3</v>
      </c>
      <c r="D87" s="8">
        <f>B87*B79+C87*C79+D79</f>
        <v>6.2499999999999991</v>
      </c>
      <c r="E87" s="6">
        <f t="shared" si="54"/>
        <v>1</v>
      </c>
      <c r="F87" s="6">
        <f>$F$12</f>
        <v>1</v>
      </c>
      <c r="G87" s="20" t="str">
        <f t="shared" si="55"/>
        <v>A</v>
      </c>
      <c r="H87" s="20" t="str">
        <f t="shared" si="56"/>
        <v>A</v>
      </c>
      <c r="I87" s="8">
        <f t="shared" si="50"/>
        <v>0</v>
      </c>
      <c r="J87" s="8">
        <f t="shared" si="51"/>
        <v>0</v>
      </c>
      <c r="K87" s="9">
        <f t="shared" si="52"/>
        <v>0</v>
      </c>
    </row>
    <row r="88" spans="1:11" x14ac:dyDescent="0.25">
      <c r="A88" s="5">
        <v>6</v>
      </c>
      <c r="B88" s="6">
        <f t="shared" ref="B88:C88" si="60">B73</f>
        <v>3</v>
      </c>
      <c r="C88" s="6">
        <f t="shared" si="60"/>
        <v>2</v>
      </c>
      <c r="D88" s="8">
        <f>B88*B79+C88*C79+D79</f>
        <v>3.5333333333333323</v>
      </c>
      <c r="E88" s="6">
        <f t="shared" si="54"/>
        <v>1</v>
      </c>
      <c r="F88" s="6">
        <f>$F$13</f>
        <v>-1</v>
      </c>
      <c r="G88" s="20" t="str">
        <f t="shared" si="55"/>
        <v>A</v>
      </c>
      <c r="H88" s="20" t="str">
        <f t="shared" si="56"/>
        <v>B</v>
      </c>
      <c r="I88" s="8">
        <f t="shared" si="50"/>
        <v>-2</v>
      </c>
      <c r="J88" s="8">
        <f t="shared" si="51"/>
        <v>-0.06</v>
      </c>
      <c r="K88" s="9">
        <f t="shared" si="52"/>
        <v>-0.04</v>
      </c>
    </row>
    <row r="89" spans="1:11" x14ac:dyDescent="0.25">
      <c r="A89" s="5"/>
      <c r="B89" s="6"/>
      <c r="C89" s="6"/>
      <c r="D89" s="6"/>
      <c r="E89" s="6"/>
      <c r="F89" s="6"/>
      <c r="G89" s="20" t="s">
        <v>8</v>
      </c>
      <c r="H89" s="20"/>
      <c r="I89" s="8">
        <f>SUM(I83:I88)</f>
        <v>-6</v>
      </c>
      <c r="J89" s="8">
        <f>AVERAGE(J83:J88)</f>
        <v>-0.02</v>
      </c>
      <c r="K89" s="9">
        <f>AVERAGE(K83:K88)</f>
        <v>-1.6666666666666666E-2</v>
      </c>
    </row>
    <row r="90" spans="1:11" x14ac:dyDescent="0.25">
      <c r="A90" s="5"/>
      <c r="B90" s="6"/>
      <c r="C90" s="6"/>
      <c r="D90" s="6"/>
      <c r="E90" s="6"/>
      <c r="F90" s="6"/>
      <c r="G90" s="20" t="s">
        <v>9</v>
      </c>
      <c r="H90" s="20"/>
      <c r="I90" s="8">
        <f>SUMSQ(I83:I88)</f>
        <v>12</v>
      </c>
      <c r="J90" s="10"/>
      <c r="K90" s="15"/>
    </row>
    <row r="91" spans="1:11" x14ac:dyDescent="0.25">
      <c r="A91" s="11"/>
      <c r="B91" s="12"/>
      <c r="C91" s="12"/>
      <c r="D91" s="12"/>
      <c r="E91" s="12"/>
      <c r="F91" s="12"/>
      <c r="G91" s="21"/>
      <c r="H91" s="21"/>
      <c r="I91" s="18"/>
      <c r="J91" s="13"/>
      <c r="K91" s="16"/>
    </row>
    <row r="92" spans="1:11" x14ac:dyDescent="0.25">
      <c r="A92" s="2" t="s">
        <v>13</v>
      </c>
      <c r="B92" s="3">
        <f>B77+1</f>
        <v>7</v>
      </c>
      <c r="C92" s="3"/>
      <c r="D92" s="3"/>
      <c r="E92" s="3"/>
      <c r="F92" s="3"/>
      <c r="G92" s="19"/>
      <c r="H92" s="19"/>
      <c r="I92" s="17"/>
      <c r="J92" s="3"/>
      <c r="K92" s="4"/>
    </row>
    <row r="93" spans="1:11" x14ac:dyDescent="0.25">
      <c r="A93" s="5"/>
      <c r="B93" s="6" t="s">
        <v>4</v>
      </c>
      <c r="C93" s="6" t="s">
        <v>5</v>
      </c>
      <c r="D93" s="6" t="s">
        <v>6</v>
      </c>
      <c r="E93" s="6"/>
      <c r="F93" s="6"/>
      <c r="G93" s="20"/>
      <c r="H93" s="20"/>
      <c r="I93" s="8"/>
      <c r="J93" s="6"/>
      <c r="K93" s="7"/>
    </row>
    <row r="94" spans="1:11" x14ac:dyDescent="0.25">
      <c r="A94" s="5">
        <v>1</v>
      </c>
      <c r="B94" s="14">
        <f>B79+J89</f>
        <v>0.87999999999999989</v>
      </c>
      <c r="C94" s="14">
        <f>C79+K89</f>
        <v>0.89999999999999969</v>
      </c>
      <c r="D94" s="6">
        <f>D79</f>
        <v>-1</v>
      </c>
      <c r="E94" s="6"/>
      <c r="F94" s="6"/>
      <c r="G94" s="20"/>
      <c r="H94" s="20"/>
      <c r="I94" s="8"/>
      <c r="J94" s="6"/>
      <c r="K94" s="7"/>
    </row>
    <row r="95" spans="1:11" x14ac:dyDescent="0.25">
      <c r="A95" s="5"/>
      <c r="B95" s="6"/>
      <c r="C95" s="6"/>
      <c r="D95" s="6"/>
      <c r="E95" s="6"/>
      <c r="F95" s="6"/>
      <c r="G95" s="20"/>
      <c r="H95" s="20"/>
      <c r="I95" s="8"/>
      <c r="J95" s="6"/>
      <c r="K95" s="7"/>
    </row>
    <row r="96" spans="1:11" x14ac:dyDescent="0.25">
      <c r="A96" s="5"/>
      <c r="B96" s="6"/>
      <c r="C96" s="6"/>
      <c r="D96" s="6"/>
      <c r="E96" s="6"/>
      <c r="F96" s="6"/>
      <c r="G96" s="20"/>
      <c r="H96" s="20"/>
      <c r="I96" s="8"/>
      <c r="J96" s="6"/>
      <c r="K96" s="7"/>
    </row>
    <row r="97" spans="1:11" x14ac:dyDescent="0.25">
      <c r="A97" s="5" t="s">
        <v>10</v>
      </c>
      <c r="B97" s="6" t="s">
        <v>2</v>
      </c>
      <c r="C97" s="6" t="s">
        <v>3</v>
      </c>
      <c r="D97" s="6" t="s">
        <v>0</v>
      </c>
      <c r="E97" s="6" t="s">
        <v>15</v>
      </c>
      <c r="F97" s="6" t="s">
        <v>1</v>
      </c>
      <c r="G97" s="20" t="s">
        <v>17</v>
      </c>
      <c r="H97" s="20" t="s">
        <v>16</v>
      </c>
      <c r="I97" s="8" t="s">
        <v>7</v>
      </c>
      <c r="J97" s="6" t="s">
        <v>11</v>
      </c>
      <c r="K97" s="7" t="s">
        <v>12</v>
      </c>
    </row>
    <row r="98" spans="1:11" x14ac:dyDescent="0.25">
      <c r="A98" s="5">
        <v>1</v>
      </c>
      <c r="B98" s="6">
        <f>B83</f>
        <v>4</v>
      </c>
      <c r="C98" s="6">
        <f>C83</f>
        <v>3</v>
      </c>
      <c r="D98" s="8">
        <f>B98*B94+C98*C94+D94</f>
        <v>5.2199999999999989</v>
      </c>
      <c r="E98" s="6">
        <f>IF(D98&gt;=0,$F$1,$E$1)</f>
        <v>1</v>
      </c>
      <c r="F98" s="6">
        <f>$F$8</f>
        <v>1</v>
      </c>
      <c r="G98" s="20" t="str">
        <f>IF(E98&gt;0,"A","B")</f>
        <v>A</v>
      </c>
      <c r="H98" s="20" t="str">
        <f>IF(F98&gt;0,"A","B")</f>
        <v>A</v>
      </c>
      <c r="I98" s="8">
        <f t="shared" ref="I98:I103" si="61">F98-E98</f>
        <v>0</v>
      </c>
      <c r="J98" s="8">
        <f t="shared" ref="J98:J103" si="62">$C$1*I98*B98</f>
        <v>0</v>
      </c>
      <c r="K98" s="9">
        <f t="shared" ref="K98:K103" si="63">$C$1*I98*C98</f>
        <v>0</v>
      </c>
    </row>
    <row r="99" spans="1:11" x14ac:dyDescent="0.25">
      <c r="A99" s="5">
        <v>2</v>
      </c>
      <c r="B99" s="6">
        <f t="shared" ref="B99:C99" si="64">B84</f>
        <v>1</v>
      </c>
      <c r="C99" s="6">
        <f t="shared" si="64"/>
        <v>1</v>
      </c>
      <c r="D99" s="8">
        <f>B99*B94+C99*C94+D94</f>
        <v>0.77999999999999958</v>
      </c>
      <c r="E99" s="6">
        <f t="shared" ref="E99:E103" si="65">IF(D99&gt;=0,$F$1,$E$1)</f>
        <v>1</v>
      </c>
      <c r="F99" s="6">
        <f>$F$9</f>
        <v>-1</v>
      </c>
      <c r="G99" s="20" t="str">
        <f t="shared" ref="G99:G103" si="66">IF(E99&gt;0,"A","B")</f>
        <v>A</v>
      </c>
      <c r="H99" s="20" t="str">
        <f t="shared" ref="H99:H103" si="67">IF(F99&gt;0,"A","B")</f>
        <v>B</v>
      </c>
      <c r="I99" s="8">
        <f t="shared" si="61"/>
        <v>-2</v>
      </c>
      <c r="J99" s="8">
        <f t="shared" si="62"/>
        <v>-0.02</v>
      </c>
      <c r="K99" s="9">
        <f t="shared" si="63"/>
        <v>-0.02</v>
      </c>
    </row>
    <row r="100" spans="1:11" x14ac:dyDescent="0.25">
      <c r="A100" s="5">
        <v>3</v>
      </c>
      <c r="B100" s="6">
        <f t="shared" ref="B100:C100" si="68">B85</f>
        <v>2</v>
      </c>
      <c r="C100" s="6">
        <f t="shared" si="68"/>
        <v>2</v>
      </c>
      <c r="D100" s="8">
        <f>B100*B94+C100*C94+D94</f>
        <v>2.5599999999999992</v>
      </c>
      <c r="E100" s="6">
        <f t="shared" si="65"/>
        <v>1</v>
      </c>
      <c r="F100" s="6">
        <f>$F$10</f>
        <v>-1</v>
      </c>
      <c r="G100" s="20" t="str">
        <f t="shared" si="66"/>
        <v>A</v>
      </c>
      <c r="H100" s="20" t="str">
        <f t="shared" si="67"/>
        <v>B</v>
      </c>
      <c r="I100" s="8">
        <f t="shared" si="61"/>
        <v>-2</v>
      </c>
      <c r="J100" s="8">
        <f t="shared" si="62"/>
        <v>-0.04</v>
      </c>
      <c r="K100" s="9">
        <f t="shared" si="63"/>
        <v>-0.04</v>
      </c>
    </row>
    <row r="101" spans="1:11" x14ac:dyDescent="0.25">
      <c r="A101" s="5">
        <v>4</v>
      </c>
      <c r="B101" s="6">
        <f t="shared" ref="B101:C101" si="69">B86</f>
        <v>2</v>
      </c>
      <c r="C101" s="6">
        <f t="shared" si="69"/>
        <v>3</v>
      </c>
      <c r="D101" s="8">
        <f>B101*B94+C101*C94+D94</f>
        <v>3.4599999999999991</v>
      </c>
      <c r="E101" s="6">
        <f t="shared" si="65"/>
        <v>1</v>
      </c>
      <c r="F101" s="6">
        <f>$F$11</f>
        <v>1</v>
      </c>
      <c r="G101" s="20" t="str">
        <f t="shared" si="66"/>
        <v>A</v>
      </c>
      <c r="H101" s="20" t="str">
        <f t="shared" si="67"/>
        <v>A</v>
      </c>
      <c r="I101" s="8">
        <f t="shared" si="61"/>
        <v>0</v>
      </c>
      <c r="J101" s="8">
        <f t="shared" si="62"/>
        <v>0</v>
      </c>
      <c r="K101" s="9">
        <f t="shared" si="63"/>
        <v>0</v>
      </c>
    </row>
    <row r="102" spans="1:11" x14ac:dyDescent="0.25">
      <c r="A102" s="5">
        <v>5</v>
      </c>
      <c r="B102" s="6">
        <f t="shared" ref="B102:C102" si="70">B87</f>
        <v>5</v>
      </c>
      <c r="C102" s="6">
        <f t="shared" si="70"/>
        <v>3</v>
      </c>
      <c r="D102" s="8">
        <f>B102*B94+C102*C94+D94</f>
        <v>6.0999999999999988</v>
      </c>
      <c r="E102" s="6">
        <f t="shared" si="65"/>
        <v>1</v>
      </c>
      <c r="F102" s="6">
        <f>$F$12</f>
        <v>1</v>
      </c>
      <c r="G102" s="20" t="str">
        <f t="shared" si="66"/>
        <v>A</v>
      </c>
      <c r="H102" s="20" t="str">
        <f t="shared" si="67"/>
        <v>A</v>
      </c>
      <c r="I102" s="8">
        <f t="shared" si="61"/>
        <v>0</v>
      </c>
      <c r="J102" s="8">
        <f t="shared" si="62"/>
        <v>0</v>
      </c>
      <c r="K102" s="9">
        <f t="shared" si="63"/>
        <v>0</v>
      </c>
    </row>
    <row r="103" spans="1:11" x14ac:dyDescent="0.25">
      <c r="A103" s="5">
        <v>6</v>
      </c>
      <c r="B103" s="6">
        <f t="shared" ref="B103:C103" si="71">B88</f>
        <v>3</v>
      </c>
      <c r="C103" s="6">
        <f t="shared" si="71"/>
        <v>2</v>
      </c>
      <c r="D103" s="8">
        <f>B103*B94+C103*C94+D94</f>
        <v>3.4399999999999995</v>
      </c>
      <c r="E103" s="6">
        <f t="shared" si="65"/>
        <v>1</v>
      </c>
      <c r="F103" s="6">
        <f>$F$13</f>
        <v>-1</v>
      </c>
      <c r="G103" s="20" t="str">
        <f t="shared" si="66"/>
        <v>A</v>
      </c>
      <c r="H103" s="20" t="str">
        <f t="shared" si="67"/>
        <v>B</v>
      </c>
      <c r="I103" s="8">
        <f t="shared" si="61"/>
        <v>-2</v>
      </c>
      <c r="J103" s="8">
        <f t="shared" si="62"/>
        <v>-0.06</v>
      </c>
      <c r="K103" s="9">
        <f t="shared" si="63"/>
        <v>-0.04</v>
      </c>
    </row>
    <row r="104" spans="1:11" x14ac:dyDescent="0.25">
      <c r="A104" s="5"/>
      <c r="B104" s="6"/>
      <c r="C104" s="6"/>
      <c r="D104" s="6"/>
      <c r="E104" s="6"/>
      <c r="F104" s="6"/>
      <c r="G104" s="20" t="s">
        <v>8</v>
      </c>
      <c r="H104" s="20"/>
      <c r="I104" s="8">
        <f>SUM(I98:I103)</f>
        <v>-6</v>
      </c>
      <c r="J104" s="8">
        <f>AVERAGE(J98:J103)</f>
        <v>-0.02</v>
      </c>
      <c r="K104" s="9">
        <f>AVERAGE(K98:K103)</f>
        <v>-1.6666666666666666E-2</v>
      </c>
    </row>
    <row r="105" spans="1:11" x14ac:dyDescent="0.25">
      <c r="A105" s="5"/>
      <c r="B105" s="6"/>
      <c r="C105" s="6"/>
      <c r="D105" s="6"/>
      <c r="E105" s="6"/>
      <c r="F105" s="6"/>
      <c r="G105" s="20" t="s">
        <v>9</v>
      </c>
      <c r="H105" s="20"/>
      <c r="I105" s="8">
        <f>SUMSQ(I98:I103)</f>
        <v>12</v>
      </c>
      <c r="J105" s="10"/>
      <c r="K105" s="15"/>
    </row>
    <row r="106" spans="1:11" x14ac:dyDescent="0.25">
      <c r="A106" s="11"/>
      <c r="B106" s="12"/>
      <c r="C106" s="12"/>
      <c r="D106" s="12"/>
      <c r="E106" s="12"/>
      <c r="F106" s="12"/>
      <c r="G106" s="21"/>
      <c r="H106" s="21"/>
      <c r="I106" s="18"/>
      <c r="J106" s="13"/>
      <c r="K106" s="16"/>
    </row>
    <row r="107" spans="1:11" x14ac:dyDescent="0.25">
      <c r="A107" s="2" t="s">
        <v>13</v>
      </c>
      <c r="B107" s="3">
        <f>B92+1</f>
        <v>8</v>
      </c>
      <c r="C107" s="3"/>
      <c r="D107" s="3"/>
      <c r="E107" s="3"/>
      <c r="F107" s="3"/>
      <c r="G107" s="19"/>
      <c r="H107" s="19"/>
      <c r="I107" s="17"/>
      <c r="J107" s="3"/>
      <c r="K107" s="4"/>
    </row>
    <row r="108" spans="1:11" x14ac:dyDescent="0.25">
      <c r="A108" s="5"/>
      <c r="B108" s="6" t="s">
        <v>4</v>
      </c>
      <c r="C108" s="6" t="s">
        <v>5</v>
      </c>
      <c r="D108" s="6" t="s">
        <v>6</v>
      </c>
      <c r="E108" s="6"/>
      <c r="F108" s="6"/>
      <c r="G108" s="20"/>
      <c r="H108" s="20"/>
      <c r="I108" s="8"/>
      <c r="J108" s="6"/>
      <c r="K108" s="7"/>
    </row>
    <row r="109" spans="1:11" x14ac:dyDescent="0.25">
      <c r="A109" s="5">
        <v>1</v>
      </c>
      <c r="B109" s="14">
        <f>B94+J104</f>
        <v>0.85999999999999988</v>
      </c>
      <c r="C109" s="14">
        <f>C94+K104</f>
        <v>0.88333333333333297</v>
      </c>
      <c r="D109" s="6">
        <f>D94</f>
        <v>-1</v>
      </c>
      <c r="E109" s="6"/>
      <c r="F109" s="6"/>
      <c r="G109" s="20"/>
      <c r="H109" s="20"/>
      <c r="I109" s="8"/>
      <c r="J109" s="6"/>
      <c r="K109" s="7"/>
    </row>
    <row r="110" spans="1:11" x14ac:dyDescent="0.25">
      <c r="A110" s="5"/>
      <c r="B110" s="6"/>
      <c r="C110" s="6"/>
      <c r="D110" s="6"/>
      <c r="E110" s="6"/>
      <c r="F110" s="6"/>
      <c r="G110" s="20"/>
      <c r="H110" s="20"/>
      <c r="I110" s="8"/>
      <c r="J110" s="6"/>
      <c r="K110" s="7"/>
    </row>
    <row r="111" spans="1:11" x14ac:dyDescent="0.25">
      <c r="A111" s="5"/>
      <c r="B111" s="6"/>
      <c r="C111" s="6"/>
      <c r="D111" s="6"/>
      <c r="E111" s="6"/>
      <c r="F111" s="6"/>
      <c r="G111" s="20"/>
      <c r="H111" s="20"/>
      <c r="I111" s="8"/>
      <c r="J111" s="6"/>
      <c r="K111" s="7"/>
    </row>
    <row r="112" spans="1:11" x14ac:dyDescent="0.25">
      <c r="A112" s="5" t="s">
        <v>10</v>
      </c>
      <c r="B112" s="6" t="s">
        <v>2</v>
      </c>
      <c r="C112" s="6" t="s">
        <v>3</v>
      </c>
      <c r="D112" s="6" t="s">
        <v>0</v>
      </c>
      <c r="E112" s="6" t="s">
        <v>15</v>
      </c>
      <c r="F112" s="6" t="s">
        <v>1</v>
      </c>
      <c r="G112" s="20" t="s">
        <v>17</v>
      </c>
      <c r="H112" s="20" t="s">
        <v>16</v>
      </c>
      <c r="I112" s="8" t="s">
        <v>7</v>
      </c>
      <c r="J112" s="6" t="s">
        <v>11</v>
      </c>
      <c r="K112" s="7" t="s">
        <v>12</v>
      </c>
    </row>
    <row r="113" spans="1:11" x14ac:dyDescent="0.25">
      <c r="A113" s="5">
        <v>1</v>
      </c>
      <c r="B113" s="6">
        <f>B98</f>
        <v>4</v>
      </c>
      <c r="C113" s="6">
        <f>C98</f>
        <v>3</v>
      </c>
      <c r="D113" s="8">
        <f>B113*B109+C113*C109+D109</f>
        <v>5.0899999999999981</v>
      </c>
      <c r="E113" s="6">
        <f>IF(D113&gt;=0,$F$1,$E$1)</f>
        <v>1</v>
      </c>
      <c r="F113" s="6">
        <f>$F$8</f>
        <v>1</v>
      </c>
      <c r="G113" s="20" t="str">
        <f>IF(E113&gt;0,"A","B")</f>
        <v>A</v>
      </c>
      <c r="H113" s="20" t="str">
        <f>IF(F113&gt;0,"A","B")</f>
        <v>A</v>
      </c>
      <c r="I113" s="8">
        <f t="shared" ref="I113:I118" si="72">F113-E113</f>
        <v>0</v>
      </c>
      <c r="J113" s="8">
        <f t="shared" ref="J113:J118" si="73">$C$1*I113*B113</f>
        <v>0</v>
      </c>
      <c r="K113" s="9">
        <f t="shared" ref="K113:K118" si="74">$C$1*I113*C113</f>
        <v>0</v>
      </c>
    </row>
    <row r="114" spans="1:11" x14ac:dyDescent="0.25">
      <c r="A114" s="5">
        <v>2</v>
      </c>
      <c r="B114" s="6">
        <f t="shared" ref="B114:C114" si="75">B99</f>
        <v>1</v>
      </c>
      <c r="C114" s="6">
        <f t="shared" si="75"/>
        <v>1</v>
      </c>
      <c r="D114" s="8">
        <f>B114*B109+C114*C109+D109</f>
        <v>0.74333333333333274</v>
      </c>
      <c r="E114" s="6">
        <f t="shared" ref="E114:E118" si="76">IF(D114&gt;=0,$F$1,$E$1)</f>
        <v>1</v>
      </c>
      <c r="F114" s="6">
        <f>$F$9</f>
        <v>-1</v>
      </c>
      <c r="G114" s="20" t="str">
        <f t="shared" ref="G114:G118" si="77">IF(E114&gt;0,"A","B")</f>
        <v>A</v>
      </c>
      <c r="H114" s="20" t="str">
        <f t="shared" ref="H114:H118" si="78">IF(F114&gt;0,"A","B")</f>
        <v>B</v>
      </c>
      <c r="I114" s="8">
        <f t="shared" si="72"/>
        <v>-2</v>
      </c>
      <c r="J114" s="8">
        <f t="shared" si="73"/>
        <v>-0.02</v>
      </c>
      <c r="K114" s="9">
        <f t="shared" si="74"/>
        <v>-0.02</v>
      </c>
    </row>
    <row r="115" spans="1:11" x14ac:dyDescent="0.25">
      <c r="A115" s="5">
        <v>3</v>
      </c>
      <c r="B115" s="6">
        <f t="shared" ref="B115:C115" si="79">B100</f>
        <v>2</v>
      </c>
      <c r="C115" s="6">
        <f t="shared" si="79"/>
        <v>2</v>
      </c>
      <c r="D115" s="8">
        <f>B115*B109+C115*C109+D109</f>
        <v>2.4866666666666655</v>
      </c>
      <c r="E115" s="6">
        <f t="shared" si="76"/>
        <v>1</v>
      </c>
      <c r="F115" s="6">
        <f>$F$10</f>
        <v>-1</v>
      </c>
      <c r="G115" s="20" t="str">
        <f t="shared" si="77"/>
        <v>A</v>
      </c>
      <c r="H115" s="20" t="str">
        <f t="shared" si="78"/>
        <v>B</v>
      </c>
      <c r="I115" s="8">
        <f t="shared" si="72"/>
        <v>-2</v>
      </c>
      <c r="J115" s="8">
        <f t="shared" si="73"/>
        <v>-0.04</v>
      </c>
      <c r="K115" s="9">
        <f t="shared" si="74"/>
        <v>-0.04</v>
      </c>
    </row>
    <row r="116" spans="1:11" x14ac:dyDescent="0.25">
      <c r="A116" s="5">
        <v>4</v>
      </c>
      <c r="B116" s="6">
        <f t="shared" ref="B116:C116" si="80">B101</f>
        <v>2</v>
      </c>
      <c r="C116" s="6">
        <f t="shared" si="80"/>
        <v>3</v>
      </c>
      <c r="D116" s="8">
        <f>B116*B109+C116*C109+D109</f>
        <v>3.3699999999999992</v>
      </c>
      <c r="E116" s="6">
        <f t="shared" si="76"/>
        <v>1</v>
      </c>
      <c r="F116" s="6">
        <f>$F$11</f>
        <v>1</v>
      </c>
      <c r="G116" s="20" t="str">
        <f t="shared" si="77"/>
        <v>A</v>
      </c>
      <c r="H116" s="20" t="str">
        <f t="shared" si="78"/>
        <v>A</v>
      </c>
      <c r="I116" s="8">
        <f t="shared" si="72"/>
        <v>0</v>
      </c>
      <c r="J116" s="8">
        <f t="shared" si="73"/>
        <v>0</v>
      </c>
      <c r="K116" s="9">
        <f t="shared" si="74"/>
        <v>0</v>
      </c>
    </row>
    <row r="117" spans="1:11" x14ac:dyDescent="0.25">
      <c r="A117" s="5">
        <v>5</v>
      </c>
      <c r="B117" s="6">
        <f t="shared" ref="B117:C117" si="81">B102</f>
        <v>5</v>
      </c>
      <c r="C117" s="6">
        <f t="shared" si="81"/>
        <v>3</v>
      </c>
      <c r="D117" s="8">
        <f>B117*B109+C117*C109+D109</f>
        <v>5.9499999999999975</v>
      </c>
      <c r="E117" s="6">
        <f t="shared" si="76"/>
        <v>1</v>
      </c>
      <c r="F117" s="6">
        <f>$F$12</f>
        <v>1</v>
      </c>
      <c r="G117" s="20" t="str">
        <f t="shared" si="77"/>
        <v>A</v>
      </c>
      <c r="H117" s="20" t="str">
        <f t="shared" si="78"/>
        <v>A</v>
      </c>
      <c r="I117" s="8">
        <f t="shared" si="72"/>
        <v>0</v>
      </c>
      <c r="J117" s="8">
        <f t="shared" si="73"/>
        <v>0</v>
      </c>
      <c r="K117" s="9">
        <f t="shared" si="74"/>
        <v>0</v>
      </c>
    </row>
    <row r="118" spans="1:11" x14ac:dyDescent="0.25">
      <c r="A118" s="5">
        <v>6</v>
      </c>
      <c r="B118" s="6">
        <f t="shared" ref="B118:C118" si="82">B103</f>
        <v>3</v>
      </c>
      <c r="C118" s="6">
        <f t="shared" si="82"/>
        <v>2</v>
      </c>
      <c r="D118" s="8">
        <f>B118*B109+C118*C109+D109</f>
        <v>3.3466666666666658</v>
      </c>
      <c r="E118" s="6">
        <f t="shared" si="76"/>
        <v>1</v>
      </c>
      <c r="F118" s="6">
        <f>$F$13</f>
        <v>-1</v>
      </c>
      <c r="G118" s="20" t="str">
        <f t="shared" si="77"/>
        <v>A</v>
      </c>
      <c r="H118" s="20" t="str">
        <f t="shared" si="78"/>
        <v>B</v>
      </c>
      <c r="I118" s="8">
        <f t="shared" si="72"/>
        <v>-2</v>
      </c>
      <c r="J118" s="8">
        <f t="shared" si="73"/>
        <v>-0.06</v>
      </c>
      <c r="K118" s="9">
        <f t="shared" si="74"/>
        <v>-0.04</v>
      </c>
    </row>
    <row r="119" spans="1:11" x14ac:dyDescent="0.25">
      <c r="A119" s="5"/>
      <c r="B119" s="6"/>
      <c r="C119" s="6"/>
      <c r="D119" s="6"/>
      <c r="E119" s="6"/>
      <c r="F119" s="6"/>
      <c r="G119" s="20" t="s">
        <v>8</v>
      </c>
      <c r="H119" s="20"/>
      <c r="I119" s="8">
        <f>SUM(I113:I118)</f>
        <v>-6</v>
      </c>
      <c r="J119" s="8">
        <f>AVERAGE(J113:J118)</f>
        <v>-0.02</v>
      </c>
      <c r="K119" s="9">
        <f>AVERAGE(K113:K118)</f>
        <v>-1.6666666666666666E-2</v>
      </c>
    </row>
    <row r="120" spans="1:11" x14ac:dyDescent="0.25">
      <c r="A120" s="5"/>
      <c r="B120" s="6"/>
      <c r="C120" s="6"/>
      <c r="D120" s="6"/>
      <c r="E120" s="6"/>
      <c r="F120" s="6"/>
      <c r="G120" s="20" t="s">
        <v>9</v>
      </c>
      <c r="H120" s="20"/>
      <c r="I120" s="8">
        <f>SUMSQ(I113:I118)</f>
        <v>12</v>
      </c>
      <c r="J120" s="10"/>
      <c r="K120" s="15"/>
    </row>
    <row r="121" spans="1:11" x14ac:dyDescent="0.25">
      <c r="A121" s="11"/>
      <c r="B121" s="12"/>
      <c r="C121" s="12"/>
      <c r="D121" s="12"/>
      <c r="E121" s="12"/>
      <c r="F121" s="12"/>
      <c r="G121" s="21"/>
      <c r="H121" s="21"/>
      <c r="I121" s="18"/>
      <c r="J121" s="13"/>
      <c r="K121" s="16"/>
    </row>
    <row r="122" spans="1:11" x14ac:dyDescent="0.25">
      <c r="A122" s="2" t="s">
        <v>13</v>
      </c>
      <c r="B122" s="3">
        <f>B107+1</f>
        <v>9</v>
      </c>
      <c r="C122" s="3"/>
      <c r="D122" s="3"/>
      <c r="E122" s="3"/>
      <c r="F122" s="3"/>
      <c r="G122" s="19"/>
      <c r="H122" s="19"/>
      <c r="I122" s="17"/>
      <c r="J122" s="3"/>
      <c r="K122" s="4"/>
    </row>
    <row r="123" spans="1:11" x14ac:dyDescent="0.25">
      <c r="A123" s="5"/>
      <c r="B123" s="6" t="s">
        <v>4</v>
      </c>
      <c r="C123" s="6" t="s">
        <v>5</v>
      </c>
      <c r="D123" s="6" t="s">
        <v>6</v>
      </c>
      <c r="E123" s="6"/>
      <c r="F123" s="6"/>
      <c r="G123" s="20"/>
      <c r="H123" s="20"/>
      <c r="I123" s="8"/>
      <c r="J123" s="6"/>
      <c r="K123" s="7"/>
    </row>
    <row r="124" spans="1:11" x14ac:dyDescent="0.25">
      <c r="A124" s="5">
        <v>1</v>
      </c>
      <c r="B124" s="14">
        <f>B109+J119</f>
        <v>0.83999999999999986</v>
      </c>
      <c r="C124" s="14">
        <f>C109+K119</f>
        <v>0.86666666666666625</v>
      </c>
      <c r="D124" s="6">
        <f>D109</f>
        <v>-1</v>
      </c>
      <c r="E124" s="6"/>
      <c r="F124" s="6"/>
      <c r="G124" s="20"/>
      <c r="H124" s="20"/>
      <c r="I124" s="8"/>
      <c r="J124" s="6"/>
      <c r="K124" s="7"/>
    </row>
    <row r="125" spans="1:11" x14ac:dyDescent="0.25">
      <c r="A125" s="5"/>
      <c r="B125" s="6"/>
      <c r="C125" s="6"/>
      <c r="D125" s="6"/>
      <c r="E125" s="6"/>
      <c r="F125" s="6"/>
      <c r="G125" s="20"/>
      <c r="H125" s="20"/>
      <c r="I125" s="8"/>
      <c r="J125" s="6"/>
      <c r="K125" s="7"/>
    </row>
    <row r="126" spans="1:11" x14ac:dyDescent="0.25">
      <c r="A126" s="5"/>
      <c r="B126" s="6"/>
      <c r="C126" s="6"/>
      <c r="D126" s="6"/>
      <c r="E126" s="6"/>
      <c r="F126" s="6"/>
      <c r="G126" s="20"/>
      <c r="H126" s="20"/>
      <c r="I126" s="8"/>
      <c r="J126" s="6"/>
      <c r="K126" s="7"/>
    </row>
    <row r="127" spans="1:11" x14ac:dyDescent="0.25">
      <c r="A127" s="5" t="s">
        <v>10</v>
      </c>
      <c r="B127" s="6" t="s">
        <v>2</v>
      </c>
      <c r="C127" s="6" t="s">
        <v>3</v>
      </c>
      <c r="D127" s="6" t="s">
        <v>0</v>
      </c>
      <c r="E127" s="6" t="s">
        <v>15</v>
      </c>
      <c r="F127" s="6" t="s">
        <v>1</v>
      </c>
      <c r="G127" s="20" t="s">
        <v>17</v>
      </c>
      <c r="H127" s="20" t="s">
        <v>16</v>
      </c>
      <c r="I127" s="8" t="s">
        <v>7</v>
      </c>
      <c r="J127" s="6" t="s">
        <v>11</v>
      </c>
      <c r="K127" s="7" t="s">
        <v>12</v>
      </c>
    </row>
    <row r="128" spans="1:11" x14ac:dyDescent="0.25">
      <c r="A128" s="5">
        <v>1</v>
      </c>
      <c r="B128" s="6">
        <f>B113</f>
        <v>4</v>
      </c>
      <c r="C128" s="6">
        <f>C113</f>
        <v>3</v>
      </c>
      <c r="D128" s="8">
        <f>B128*B124+C128*C124+D124</f>
        <v>4.9599999999999982</v>
      </c>
      <c r="E128" s="6">
        <f>IF(D128&gt;=0,$F$1,$E$1)</f>
        <v>1</v>
      </c>
      <c r="F128" s="6">
        <f>$F$8</f>
        <v>1</v>
      </c>
      <c r="G128" s="20" t="str">
        <f>IF(E128&gt;0,"A","B")</f>
        <v>A</v>
      </c>
      <c r="H128" s="20" t="str">
        <f>IF(F128&gt;0,"A","B")</f>
        <v>A</v>
      </c>
      <c r="I128" s="8">
        <f t="shared" ref="I128:I133" si="83">F128-E128</f>
        <v>0</v>
      </c>
      <c r="J128" s="8">
        <f t="shared" ref="J128:J133" si="84">$C$1*I128*B128</f>
        <v>0</v>
      </c>
      <c r="K128" s="9">
        <f t="shared" ref="K128:K133" si="85">$C$1*I128*C128</f>
        <v>0</v>
      </c>
    </row>
    <row r="129" spans="1:11" x14ac:dyDescent="0.25">
      <c r="A129" s="5">
        <v>2</v>
      </c>
      <c r="B129" s="6">
        <f t="shared" ref="B129:C129" si="86">B114</f>
        <v>1</v>
      </c>
      <c r="C129" s="6">
        <f t="shared" si="86"/>
        <v>1</v>
      </c>
      <c r="D129" s="8">
        <f>B129*B124+C129*C124+D124</f>
        <v>0.70666666666666611</v>
      </c>
      <c r="E129" s="6">
        <f t="shared" ref="E129:E133" si="87">IF(D129&gt;=0,$F$1,$E$1)</f>
        <v>1</v>
      </c>
      <c r="F129" s="6">
        <f>$F$9</f>
        <v>-1</v>
      </c>
      <c r="G129" s="20" t="str">
        <f t="shared" ref="G129:G133" si="88">IF(E129&gt;0,"A","B")</f>
        <v>A</v>
      </c>
      <c r="H129" s="20" t="str">
        <f t="shared" ref="H129:H133" si="89">IF(F129&gt;0,"A","B")</f>
        <v>B</v>
      </c>
      <c r="I129" s="8">
        <f t="shared" si="83"/>
        <v>-2</v>
      </c>
      <c r="J129" s="8">
        <f t="shared" si="84"/>
        <v>-0.02</v>
      </c>
      <c r="K129" s="9">
        <f t="shared" si="85"/>
        <v>-0.02</v>
      </c>
    </row>
    <row r="130" spans="1:11" x14ac:dyDescent="0.25">
      <c r="A130" s="5">
        <v>3</v>
      </c>
      <c r="B130" s="6">
        <f t="shared" ref="B130:C130" si="90">B115</f>
        <v>2</v>
      </c>
      <c r="C130" s="6">
        <f t="shared" si="90"/>
        <v>2</v>
      </c>
      <c r="D130" s="8">
        <f>B130*B124+C130*C124+D124</f>
        <v>2.4133333333333322</v>
      </c>
      <c r="E130" s="6">
        <f t="shared" si="87"/>
        <v>1</v>
      </c>
      <c r="F130" s="6">
        <f>$F$10</f>
        <v>-1</v>
      </c>
      <c r="G130" s="20" t="str">
        <f t="shared" si="88"/>
        <v>A</v>
      </c>
      <c r="H130" s="20" t="str">
        <f t="shared" si="89"/>
        <v>B</v>
      </c>
      <c r="I130" s="8">
        <f t="shared" si="83"/>
        <v>-2</v>
      </c>
      <c r="J130" s="8">
        <f t="shared" si="84"/>
        <v>-0.04</v>
      </c>
      <c r="K130" s="9">
        <f t="shared" si="85"/>
        <v>-0.04</v>
      </c>
    </row>
    <row r="131" spans="1:11" x14ac:dyDescent="0.25">
      <c r="A131" s="5">
        <v>4</v>
      </c>
      <c r="B131" s="6">
        <f t="shared" ref="B131:C131" si="91">B116</f>
        <v>2</v>
      </c>
      <c r="C131" s="6">
        <f t="shared" si="91"/>
        <v>3</v>
      </c>
      <c r="D131" s="8">
        <f>B131*B124+C131*C124+D124</f>
        <v>3.2799999999999985</v>
      </c>
      <c r="E131" s="6">
        <f t="shared" si="87"/>
        <v>1</v>
      </c>
      <c r="F131" s="6">
        <f>$F$11</f>
        <v>1</v>
      </c>
      <c r="G131" s="20" t="str">
        <f t="shared" si="88"/>
        <v>A</v>
      </c>
      <c r="H131" s="20" t="str">
        <f t="shared" si="89"/>
        <v>A</v>
      </c>
      <c r="I131" s="8">
        <f t="shared" si="83"/>
        <v>0</v>
      </c>
      <c r="J131" s="8">
        <f t="shared" si="84"/>
        <v>0</v>
      </c>
      <c r="K131" s="9">
        <f t="shared" si="85"/>
        <v>0</v>
      </c>
    </row>
    <row r="132" spans="1:11" x14ac:dyDescent="0.25">
      <c r="A132" s="5">
        <v>5</v>
      </c>
      <c r="B132" s="6">
        <f t="shared" ref="B132:C132" si="92">B117</f>
        <v>5</v>
      </c>
      <c r="C132" s="6">
        <f t="shared" si="92"/>
        <v>3</v>
      </c>
      <c r="D132" s="8">
        <f>B132*B124+C132*C124+D124</f>
        <v>5.799999999999998</v>
      </c>
      <c r="E132" s="6">
        <f t="shared" si="87"/>
        <v>1</v>
      </c>
      <c r="F132" s="6">
        <f>$F$12</f>
        <v>1</v>
      </c>
      <c r="G132" s="20" t="str">
        <f t="shared" si="88"/>
        <v>A</v>
      </c>
      <c r="H132" s="20" t="str">
        <f t="shared" si="89"/>
        <v>A</v>
      </c>
      <c r="I132" s="8">
        <f t="shared" si="83"/>
        <v>0</v>
      </c>
      <c r="J132" s="8">
        <f t="shared" si="84"/>
        <v>0</v>
      </c>
      <c r="K132" s="9">
        <f t="shared" si="85"/>
        <v>0</v>
      </c>
    </row>
    <row r="133" spans="1:11" x14ac:dyDescent="0.25">
      <c r="A133" s="5">
        <v>6</v>
      </c>
      <c r="B133" s="6">
        <f t="shared" ref="B133:C133" si="93">B118</f>
        <v>3</v>
      </c>
      <c r="C133" s="6">
        <f t="shared" si="93"/>
        <v>2</v>
      </c>
      <c r="D133" s="8">
        <f>B133*B124+C133*C124+D124</f>
        <v>3.2533333333333321</v>
      </c>
      <c r="E133" s="6">
        <f t="shared" si="87"/>
        <v>1</v>
      </c>
      <c r="F133" s="6">
        <f>$F$13</f>
        <v>-1</v>
      </c>
      <c r="G133" s="20" t="str">
        <f t="shared" si="88"/>
        <v>A</v>
      </c>
      <c r="H133" s="20" t="str">
        <f t="shared" si="89"/>
        <v>B</v>
      </c>
      <c r="I133" s="8">
        <f t="shared" si="83"/>
        <v>-2</v>
      </c>
      <c r="J133" s="8">
        <f t="shared" si="84"/>
        <v>-0.06</v>
      </c>
      <c r="K133" s="9">
        <f t="shared" si="85"/>
        <v>-0.04</v>
      </c>
    </row>
    <row r="134" spans="1:11" x14ac:dyDescent="0.25">
      <c r="A134" s="5"/>
      <c r="B134" s="6"/>
      <c r="C134" s="6"/>
      <c r="D134" s="6"/>
      <c r="E134" s="6"/>
      <c r="F134" s="6"/>
      <c r="G134" s="20" t="s">
        <v>8</v>
      </c>
      <c r="H134" s="20"/>
      <c r="I134" s="8">
        <f>SUM(I128:I133)</f>
        <v>-6</v>
      </c>
      <c r="J134" s="8">
        <f>AVERAGE(J128:J133)</f>
        <v>-0.02</v>
      </c>
      <c r="K134" s="9">
        <f>AVERAGE(K128:K133)</f>
        <v>-1.6666666666666666E-2</v>
      </c>
    </row>
    <row r="135" spans="1:11" x14ac:dyDescent="0.25">
      <c r="A135" s="5"/>
      <c r="B135" s="6"/>
      <c r="C135" s="6"/>
      <c r="D135" s="6"/>
      <c r="E135" s="6"/>
      <c r="F135" s="6"/>
      <c r="G135" s="20" t="s">
        <v>9</v>
      </c>
      <c r="H135" s="20"/>
      <c r="I135" s="8">
        <f>SUMSQ(I128:I133)</f>
        <v>12</v>
      </c>
      <c r="J135" s="10"/>
      <c r="K135" s="15"/>
    </row>
    <row r="136" spans="1:11" x14ac:dyDescent="0.25">
      <c r="A136" s="11"/>
      <c r="B136" s="12"/>
      <c r="C136" s="12"/>
      <c r="D136" s="12"/>
      <c r="E136" s="12"/>
      <c r="F136" s="12"/>
      <c r="G136" s="21"/>
      <c r="H136" s="21"/>
      <c r="I136" s="18"/>
      <c r="J136" s="13"/>
      <c r="K136" s="16"/>
    </row>
    <row r="137" spans="1:11" x14ac:dyDescent="0.25">
      <c r="A137" s="2" t="s">
        <v>13</v>
      </c>
      <c r="B137" s="3">
        <f>B122+1</f>
        <v>10</v>
      </c>
      <c r="C137" s="3"/>
      <c r="D137" s="3"/>
      <c r="E137" s="3"/>
      <c r="F137" s="3"/>
      <c r="G137" s="19"/>
      <c r="H137" s="19"/>
      <c r="I137" s="17"/>
      <c r="J137" s="3"/>
      <c r="K137" s="4"/>
    </row>
    <row r="138" spans="1:11" x14ac:dyDescent="0.25">
      <c r="A138" s="5"/>
      <c r="B138" s="6" t="s">
        <v>4</v>
      </c>
      <c r="C138" s="6" t="s">
        <v>5</v>
      </c>
      <c r="D138" s="6" t="s">
        <v>6</v>
      </c>
      <c r="E138" s="6"/>
      <c r="F138" s="6"/>
      <c r="G138" s="20"/>
      <c r="H138" s="20"/>
      <c r="I138" s="8"/>
      <c r="J138" s="6"/>
      <c r="K138" s="7"/>
    </row>
    <row r="139" spans="1:11" x14ac:dyDescent="0.25">
      <c r="A139" s="5">
        <v>1</v>
      </c>
      <c r="B139" s="14">
        <f>B124+J134</f>
        <v>0.81999999999999984</v>
      </c>
      <c r="C139" s="14">
        <f>C124+K134</f>
        <v>0.84999999999999953</v>
      </c>
      <c r="D139" s="6">
        <f>D124</f>
        <v>-1</v>
      </c>
      <c r="E139" s="6"/>
      <c r="F139" s="6"/>
      <c r="G139" s="20"/>
      <c r="H139" s="20"/>
      <c r="I139" s="8"/>
      <c r="J139" s="6"/>
      <c r="K139" s="7"/>
    </row>
    <row r="140" spans="1:11" x14ac:dyDescent="0.25">
      <c r="A140" s="5"/>
      <c r="B140" s="6"/>
      <c r="C140" s="6"/>
      <c r="D140" s="6"/>
      <c r="E140" s="6"/>
      <c r="F140" s="6"/>
      <c r="G140" s="20"/>
      <c r="H140" s="20"/>
      <c r="I140" s="8"/>
      <c r="J140" s="6"/>
      <c r="K140" s="7"/>
    </row>
    <row r="141" spans="1:11" x14ac:dyDescent="0.25">
      <c r="A141" s="5"/>
      <c r="B141" s="6"/>
      <c r="C141" s="6"/>
      <c r="D141" s="6"/>
      <c r="E141" s="6"/>
      <c r="F141" s="6"/>
      <c r="G141" s="20"/>
      <c r="H141" s="20"/>
      <c r="I141" s="8"/>
      <c r="J141" s="6"/>
      <c r="K141" s="7"/>
    </row>
    <row r="142" spans="1:11" x14ac:dyDescent="0.25">
      <c r="A142" s="5" t="s">
        <v>10</v>
      </c>
      <c r="B142" s="6" t="s">
        <v>2</v>
      </c>
      <c r="C142" s="6" t="s">
        <v>3</v>
      </c>
      <c r="D142" s="6" t="s">
        <v>0</v>
      </c>
      <c r="E142" s="6" t="s">
        <v>15</v>
      </c>
      <c r="F142" s="6" t="s">
        <v>1</v>
      </c>
      <c r="G142" s="20" t="s">
        <v>17</v>
      </c>
      <c r="H142" s="20" t="s">
        <v>16</v>
      </c>
      <c r="I142" s="8" t="s">
        <v>7</v>
      </c>
      <c r="J142" s="6" t="s">
        <v>11</v>
      </c>
      <c r="K142" s="7" t="s">
        <v>12</v>
      </c>
    </row>
    <row r="143" spans="1:11" x14ac:dyDescent="0.25">
      <c r="A143" s="5">
        <v>1</v>
      </c>
      <c r="B143" s="6">
        <f>B128</f>
        <v>4</v>
      </c>
      <c r="C143" s="6">
        <f>C128</f>
        <v>3</v>
      </c>
      <c r="D143" s="8">
        <f>B143*B139+C143*C139+D139</f>
        <v>4.8299999999999983</v>
      </c>
      <c r="E143" s="6">
        <f>IF(D143&gt;=0,$F$1,$E$1)</f>
        <v>1</v>
      </c>
      <c r="F143" s="6">
        <f>$F$8</f>
        <v>1</v>
      </c>
      <c r="G143" s="20" t="str">
        <f>IF(E143&gt;0,"A","B")</f>
        <v>A</v>
      </c>
      <c r="H143" s="20" t="str">
        <f>IF(F143&gt;0,"A","B")</f>
        <v>A</v>
      </c>
      <c r="I143" s="8">
        <f t="shared" ref="I143:I148" si="94">F143-E143</f>
        <v>0</v>
      </c>
      <c r="J143" s="8">
        <f t="shared" ref="J143:J148" si="95">$C$1*I143*B143</f>
        <v>0</v>
      </c>
      <c r="K143" s="9">
        <f t="shared" ref="K143:K148" si="96">$C$1*I143*C143</f>
        <v>0</v>
      </c>
    </row>
    <row r="144" spans="1:11" x14ac:dyDescent="0.25">
      <c r="A144" s="5">
        <v>2</v>
      </c>
      <c r="B144" s="6">
        <f t="shared" ref="B144:C144" si="97">B129</f>
        <v>1</v>
      </c>
      <c r="C144" s="6">
        <f t="shared" si="97"/>
        <v>1</v>
      </c>
      <c r="D144" s="8">
        <f>B144*B139+C144*C139+D139</f>
        <v>0.66999999999999948</v>
      </c>
      <c r="E144" s="6">
        <f t="shared" ref="E144:E148" si="98">IF(D144&gt;=0,$F$1,$E$1)</f>
        <v>1</v>
      </c>
      <c r="F144" s="6">
        <f>$F$9</f>
        <v>-1</v>
      </c>
      <c r="G144" s="20" t="str">
        <f t="shared" ref="G144:G148" si="99">IF(E144&gt;0,"A","B")</f>
        <v>A</v>
      </c>
      <c r="H144" s="20" t="str">
        <f t="shared" ref="H144:H148" si="100">IF(F144&gt;0,"A","B")</f>
        <v>B</v>
      </c>
      <c r="I144" s="8">
        <f t="shared" si="94"/>
        <v>-2</v>
      </c>
      <c r="J144" s="8">
        <f t="shared" si="95"/>
        <v>-0.02</v>
      </c>
      <c r="K144" s="9">
        <f t="shared" si="96"/>
        <v>-0.02</v>
      </c>
    </row>
    <row r="145" spans="1:11" x14ac:dyDescent="0.25">
      <c r="A145" s="5">
        <v>3</v>
      </c>
      <c r="B145" s="6">
        <f t="shared" ref="B145:C145" si="101">B130</f>
        <v>2</v>
      </c>
      <c r="C145" s="6">
        <f t="shared" si="101"/>
        <v>2</v>
      </c>
      <c r="D145" s="8">
        <f>B145*B139+C145*C139+D139</f>
        <v>2.339999999999999</v>
      </c>
      <c r="E145" s="6">
        <f t="shared" si="98"/>
        <v>1</v>
      </c>
      <c r="F145" s="6">
        <f>$F$10</f>
        <v>-1</v>
      </c>
      <c r="G145" s="20" t="str">
        <f t="shared" si="99"/>
        <v>A</v>
      </c>
      <c r="H145" s="20" t="str">
        <f t="shared" si="100"/>
        <v>B</v>
      </c>
      <c r="I145" s="8">
        <f t="shared" si="94"/>
        <v>-2</v>
      </c>
      <c r="J145" s="8">
        <f t="shared" si="95"/>
        <v>-0.04</v>
      </c>
      <c r="K145" s="9">
        <f t="shared" si="96"/>
        <v>-0.04</v>
      </c>
    </row>
    <row r="146" spans="1:11" x14ac:dyDescent="0.25">
      <c r="A146" s="5">
        <v>4</v>
      </c>
      <c r="B146" s="6">
        <f t="shared" ref="B146:C146" si="102">B131</f>
        <v>2</v>
      </c>
      <c r="C146" s="6">
        <f t="shared" si="102"/>
        <v>3</v>
      </c>
      <c r="D146" s="8">
        <f>B146*B139+C146*C139+D139</f>
        <v>3.1899999999999977</v>
      </c>
      <c r="E146" s="6">
        <f t="shared" si="98"/>
        <v>1</v>
      </c>
      <c r="F146" s="6">
        <f>$F$11</f>
        <v>1</v>
      </c>
      <c r="G146" s="20" t="str">
        <f t="shared" si="99"/>
        <v>A</v>
      </c>
      <c r="H146" s="20" t="str">
        <f t="shared" si="100"/>
        <v>A</v>
      </c>
      <c r="I146" s="8">
        <f t="shared" si="94"/>
        <v>0</v>
      </c>
      <c r="J146" s="8">
        <f t="shared" si="95"/>
        <v>0</v>
      </c>
      <c r="K146" s="9">
        <f t="shared" si="96"/>
        <v>0</v>
      </c>
    </row>
    <row r="147" spans="1:11" x14ac:dyDescent="0.25">
      <c r="A147" s="5">
        <v>5</v>
      </c>
      <c r="B147" s="6">
        <f t="shared" ref="B147:C147" si="103">B132</f>
        <v>5</v>
      </c>
      <c r="C147" s="6">
        <f t="shared" si="103"/>
        <v>3</v>
      </c>
      <c r="D147" s="8">
        <f>B147*B139+C147*C139+D139</f>
        <v>5.6499999999999986</v>
      </c>
      <c r="E147" s="6">
        <f t="shared" si="98"/>
        <v>1</v>
      </c>
      <c r="F147" s="6">
        <f>$F$12</f>
        <v>1</v>
      </c>
      <c r="G147" s="20" t="str">
        <f t="shared" si="99"/>
        <v>A</v>
      </c>
      <c r="H147" s="20" t="str">
        <f t="shared" si="100"/>
        <v>A</v>
      </c>
      <c r="I147" s="8">
        <f t="shared" si="94"/>
        <v>0</v>
      </c>
      <c r="J147" s="8">
        <f t="shared" si="95"/>
        <v>0</v>
      </c>
      <c r="K147" s="9">
        <f t="shared" si="96"/>
        <v>0</v>
      </c>
    </row>
    <row r="148" spans="1:11" x14ac:dyDescent="0.25">
      <c r="A148" s="5">
        <v>6</v>
      </c>
      <c r="B148" s="6">
        <f t="shared" ref="B148:C148" si="104">B133</f>
        <v>3</v>
      </c>
      <c r="C148" s="6">
        <f t="shared" si="104"/>
        <v>2</v>
      </c>
      <c r="D148" s="8">
        <f>B148*B139+C148*C139+D139</f>
        <v>3.1599999999999984</v>
      </c>
      <c r="E148" s="6">
        <f t="shared" si="98"/>
        <v>1</v>
      </c>
      <c r="F148" s="6">
        <f>$F$13</f>
        <v>-1</v>
      </c>
      <c r="G148" s="20" t="str">
        <f t="shared" si="99"/>
        <v>A</v>
      </c>
      <c r="H148" s="20" t="str">
        <f t="shared" si="100"/>
        <v>B</v>
      </c>
      <c r="I148" s="8">
        <f t="shared" si="94"/>
        <v>-2</v>
      </c>
      <c r="J148" s="8">
        <f t="shared" si="95"/>
        <v>-0.06</v>
      </c>
      <c r="K148" s="9">
        <f t="shared" si="96"/>
        <v>-0.04</v>
      </c>
    </row>
    <row r="149" spans="1:11" x14ac:dyDescent="0.25">
      <c r="A149" s="5"/>
      <c r="B149" s="6"/>
      <c r="C149" s="6"/>
      <c r="D149" s="6"/>
      <c r="E149" s="6"/>
      <c r="F149" s="6"/>
      <c r="G149" s="20" t="s">
        <v>8</v>
      </c>
      <c r="H149" s="20"/>
      <c r="I149" s="8">
        <f>SUM(I143:I148)</f>
        <v>-6</v>
      </c>
      <c r="J149" s="8">
        <f>AVERAGE(J143:J148)</f>
        <v>-0.02</v>
      </c>
      <c r="K149" s="9">
        <f>AVERAGE(K143:K148)</f>
        <v>-1.6666666666666666E-2</v>
      </c>
    </row>
    <row r="150" spans="1:11" x14ac:dyDescent="0.25">
      <c r="A150" s="5"/>
      <c r="B150" s="6"/>
      <c r="C150" s="6"/>
      <c r="D150" s="6"/>
      <c r="E150" s="6"/>
      <c r="F150" s="6"/>
      <c r="G150" s="20" t="s">
        <v>9</v>
      </c>
      <c r="H150" s="20"/>
      <c r="I150" s="8">
        <f>SUMSQ(I143:I148)</f>
        <v>12</v>
      </c>
      <c r="J150" s="10"/>
      <c r="K150" s="15"/>
    </row>
    <row r="151" spans="1:11" x14ac:dyDescent="0.25">
      <c r="A151" s="11"/>
      <c r="B151" s="12"/>
      <c r="C151" s="12"/>
      <c r="D151" s="12"/>
      <c r="E151" s="12"/>
      <c r="F151" s="12"/>
      <c r="G151" s="21"/>
      <c r="H151" s="21"/>
      <c r="I151" s="18"/>
      <c r="J151" s="13"/>
      <c r="K151" s="16"/>
    </row>
    <row r="152" spans="1:11" x14ac:dyDescent="0.25">
      <c r="A152" s="2" t="s">
        <v>13</v>
      </c>
      <c r="B152" s="3">
        <f>B137+1</f>
        <v>11</v>
      </c>
      <c r="C152" s="3"/>
      <c r="D152" s="3"/>
      <c r="E152" s="3"/>
      <c r="F152" s="3"/>
      <c r="G152" s="19"/>
      <c r="H152" s="19"/>
      <c r="I152" s="17"/>
      <c r="J152" s="3"/>
      <c r="K152" s="4"/>
    </row>
    <row r="153" spans="1:11" x14ac:dyDescent="0.25">
      <c r="A153" s="5"/>
      <c r="B153" s="6" t="s">
        <v>4</v>
      </c>
      <c r="C153" s="6" t="s">
        <v>5</v>
      </c>
      <c r="D153" s="6" t="s">
        <v>6</v>
      </c>
      <c r="E153" s="6"/>
      <c r="F153" s="6"/>
      <c r="G153" s="20"/>
      <c r="H153" s="20"/>
      <c r="I153" s="8"/>
      <c r="J153" s="6"/>
      <c r="K153" s="7"/>
    </row>
    <row r="154" spans="1:11" x14ac:dyDescent="0.25">
      <c r="A154" s="5">
        <v>1</v>
      </c>
      <c r="B154" s="14">
        <f>B139+J149</f>
        <v>0.79999999999999982</v>
      </c>
      <c r="C154" s="14">
        <f>C139+K149</f>
        <v>0.83333333333333282</v>
      </c>
      <c r="D154" s="6">
        <f>D139</f>
        <v>-1</v>
      </c>
      <c r="E154" s="6"/>
      <c r="F154" s="6"/>
      <c r="G154" s="20"/>
      <c r="H154" s="20"/>
      <c r="I154" s="8"/>
      <c r="J154" s="6"/>
      <c r="K154" s="7"/>
    </row>
    <row r="155" spans="1:11" x14ac:dyDescent="0.25">
      <c r="A155" s="5"/>
      <c r="B155" s="6"/>
      <c r="C155" s="6"/>
      <c r="D155" s="6"/>
      <c r="E155" s="6"/>
      <c r="F155" s="6"/>
      <c r="G155" s="20"/>
      <c r="H155" s="20"/>
      <c r="I155" s="8"/>
      <c r="J155" s="6"/>
      <c r="K155" s="7"/>
    </row>
    <row r="156" spans="1:11" x14ac:dyDescent="0.25">
      <c r="A156" s="5"/>
      <c r="B156" s="6"/>
      <c r="C156" s="6"/>
      <c r="D156" s="6"/>
      <c r="E156" s="6"/>
      <c r="F156" s="6"/>
      <c r="G156" s="20"/>
      <c r="H156" s="20"/>
      <c r="I156" s="8"/>
      <c r="J156" s="6"/>
      <c r="K156" s="7"/>
    </row>
    <row r="157" spans="1:11" x14ac:dyDescent="0.25">
      <c r="A157" s="5" t="s">
        <v>10</v>
      </c>
      <c r="B157" s="6" t="s">
        <v>2</v>
      </c>
      <c r="C157" s="6" t="s">
        <v>3</v>
      </c>
      <c r="D157" s="6" t="s">
        <v>0</v>
      </c>
      <c r="E157" s="6" t="s">
        <v>15</v>
      </c>
      <c r="F157" s="6" t="s">
        <v>1</v>
      </c>
      <c r="G157" s="20" t="s">
        <v>17</v>
      </c>
      <c r="H157" s="20" t="s">
        <v>16</v>
      </c>
      <c r="I157" s="8" t="s">
        <v>7</v>
      </c>
      <c r="J157" s="6" t="s">
        <v>11</v>
      </c>
      <c r="K157" s="7" t="s">
        <v>12</v>
      </c>
    </row>
    <row r="158" spans="1:11" x14ac:dyDescent="0.25">
      <c r="A158" s="5">
        <v>1</v>
      </c>
      <c r="B158" s="6">
        <f>B143</f>
        <v>4</v>
      </c>
      <c r="C158" s="6">
        <f>C143</f>
        <v>3</v>
      </c>
      <c r="D158" s="8">
        <f>B158*B154+C158*C154+D154</f>
        <v>4.6999999999999975</v>
      </c>
      <c r="E158" s="6">
        <f>IF(D158&gt;=0,$F$1,$E$1)</f>
        <v>1</v>
      </c>
      <c r="F158" s="6">
        <f>$F$8</f>
        <v>1</v>
      </c>
      <c r="G158" s="20" t="str">
        <f>IF(E158&gt;0,"A","B")</f>
        <v>A</v>
      </c>
      <c r="H158" s="20" t="str">
        <f>IF(F158&gt;0,"A","B")</f>
        <v>A</v>
      </c>
      <c r="I158" s="8">
        <f t="shared" ref="I158:I163" si="105">F158-E158</f>
        <v>0</v>
      </c>
      <c r="J158" s="8">
        <f t="shared" ref="J158:J163" si="106">$C$1*I158*B158</f>
        <v>0</v>
      </c>
      <c r="K158" s="9">
        <f t="shared" ref="K158:K163" si="107">$C$1*I158*C158</f>
        <v>0</v>
      </c>
    </row>
    <row r="159" spans="1:11" x14ac:dyDescent="0.25">
      <c r="A159" s="5">
        <v>2</v>
      </c>
      <c r="B159" s="6">
        <f t="shared" ref="B159:C159" si="108">B144</f>
        <v>1</v>
      </c>
      <c r="C159" s="6">
        <f t="shared" si="108"/>
        <v>1</v>
      </c>
      <c r="D159" s="8">
        <f>B159*B154+C159*C154+D154</f>
        <v>0.63333333333333264</v>
      </c>
      <c r="E159" s="6">
        <f t="shared" ref="E159:E163" si="109">IF(D159&gt;=0,$F$1,$E$1)</f>
        <v>1</v>
      </c>
      <c r="F159" s="6">
        <f>$F$9</f>
        <v>-1</v>
      </c>
      <c r="G159" s="20" t="str">
        <f t="shared" ref="G159:G163" si="110">IF(E159&gt;0,"A","B")</f>
        <v>A</v>
      </c>
      <c r="H159" s="20" t="str">
        <f t="shared" ref="H159:H163" si="111">IF(F159&gt;0,"A","B")</f>
        <v>B</v>
      </c>
      <c r="I159" s="8">
        <f t="shared" si="105"/>
        <v>-2</v>
      </c>
      <c r="J159" s="8">
        <f t="shared" si="106"/>
        <v>-0.02</v>
      </c>
      <c r="K159" s="9">
        <f t="shared" si="107"/>
        <v>-0.02</v>
      </c>
    </row>
    <row r="160" spans="1:11" x14ac:dyDescent="0.25">
      <c r="A160" s="5">
        <v>3</v>
      </c>
      <c r="B160" s="6">
        <f t="shared" ref="B160:C160" si="112">B145</f>
        <v>2</v>
      </c>
      <c r="C160" s="6">
        <f t="shared" si="112"/>
        <v>2</v>
      </c>
      <c r="D160" s="8">
        <f>B160*B154+C160*C154+D154</f>
        <v>2.2666666666666653</v>
      </c>
      <c r="E160" s="6">
        <f t="shared" si="109"/>
        <v>1</v>
      </c>
      <c r="F160" s="6">
        <f>$F$10</f>
        <v>-1</v>
      </c>
      <c r="G160" s="20" t="str">
        <f t="shared" si="110"/>
        <v>A</v>
      </c>
      <c r="H160" s="20" t="str">
        <f t="shared" si="111"/>
        <v>B</v>
      </c>
      <c r="I160" s="8">
        <f t="shared" si="105"/>
        <v>-2</v>
      </c>
      <c r="J160" s="8">
        <f t="shared" si="106"/>
        <v>-0.04</v>
      </c>
      <c r="K160" s="9">
        <f t="shared" si="107"/>
        <v>-0.04</v>
      </c>
    </row>
    <row r="161" spans="1:11" x14ac:dyDescent="0.25">
      <c r="A161" s="5">
        <v>4</v>
      </c>
      <c r="B161" s="6">
        <f t="shared" ref="B161:C161" si="113">B146</f>
        <v>2</v>
      </c>
      <c r="C161" s="6">
        <f t="shared" si="113"/>
        <v>3</v>
      </c>
      <c r="D161" s="8">
        <f>B161*B154+C161*C154+D154</f>
        <v>3.0999999999999979</v>
      </c>
      <c r="E161" s="6">
        <f t="shared" si="109"/>
        <v>1</v>
      </c>
      <c r="F161" s="6">
        <f>$F$11</f>
        <v>1</v>
      </c>
      <c r="G161" s="20" t="str">
        <f t="shared" si="110"/>
        <v>A</v>
      </c>
      <c r="H161" s="20" t="str">
        <f t="shared" si="111"/>
        <v>A</v>
      </c>
      <c r="I161" s="8">
        <f t="shared" si="105"/>
        <v>0</v>
      </c>
      <c r="J161" s="8">
        <f t="shared" si="106"/>
        <v>0</v>
      </c>
      <c r="K161" s="9">
        <f t="shared" si="107"/>
        <v>0</v>
      </c>
    </row>
    <row r="162" spans="1:11" x14ac:dyDescent="0.25">
      <c r="A162" s="5">
        <v>5</v>
      </c>
      <c r="B162" s="6">
        <f t="shared" ref="B162:C162" si="114">B147</f>
        <v>5</v>
      </c>
      <c r="C162" s="6">
        <f t="shared" si="114"/>
        <v>3</v>
      </c>
      <c r="D162" s="8">
        <f>B162*B154+C162*C154+D154</f>
        <v>5.4999999999999973</v>
      </c>
      <c r="E162" s="6">
        <f t="shared" si="109"/>
        <v>1</v>
      </c>
      <c r="F162" s="6">
        <f>$F$12</f>
        <v>1</v>
      </c>
      <c r="G162" s="20" t="str">
        <f t="shared" si="110"/>
        <v>A</v>
      </c>
      <c r="H162" s="20" t="str">
        <f t="shared" si="111"/>
        <v>A</v>
      </c>
      <c r="I162" s="8">
        <f t="shared" si="105"/>
        <v>0</v>
      </c>
      <c r="J162" s="8">
        <f t="shared" si="106"/>
        <v>0</v>
      </c>
      <c r="K162" s="9">
        <f t="shared" si="107"/>
        <v>0</v>
      </c>
    </row>
    <row r="163" spans="1:11" x14ac:dyDescent="0.25">
      <c r="A163" s="5">
        <v>6</v>
      </c>
      <c r="B163" s="6">
        <f t="shared" ref="B163:C163" si="115">B148</f>
        <v>3</v>
      </c>
      <c r="C163" s="6">
        <f t="shared" si="115"/>
        <v>2</v>
      </c>
      <c r="D163" s="8">
        <f>B163*B154+C163*C154+D154</f>
        <v>3.0666666666666647</v>
      </c>
      <c r="E163" s="6">
        <f t="shared" si="109"/>
        <v>1</v>
      </c>
      <c r="F163" s="6">
        <f>$F$13</f>
        <v>-1</v>
      </c>
      <c r="G163" s="20" t="str">
        <f t="shared" si="110"/>
        <v>A</v>
      </c>
      <c r="H163" s="20" t="str">
        <f t="shared" si="111"/>
        <v>B</v>
      </c>
      <c r="I163" s="8">
        <f t="shared" si="105"/>
        <v>-2</v>
      </c>
      <c r="J163" s="8">
        <f t="shared" si="106"/>
        <v>-0.06</v>
      </c>
      <c r="K163" s="9">
        <f t="shared" si="107"/>
        <v>-0.04</v>
      </c>
    </row>
    <row r="164" spans="1:11" x14ac:dyDescent="0.25">
      <c r="A164" s="5"/>
      <c r="B164" s="6"/>
      <c r="C164" s="6"/>
      <c r="D164" s="6"/>
      <c r="E164" s="6"/>
      <c r="F164" s="6"/>
      <c r="G164" s="20" t="s">
        <v>8</v>
      </c>
      <c r="H164" s="20"/>
      <c r="I164" s="8">
        <f>SUM(I158:I163)</f>
        <v>-6</v>
      </c>
      <c r="J164" s="8">
        <f>AVERAGE(J158:J163)</f>
        <v>-0.02</v>
      </c>
      <c r="K164" s="9">
        <f>AVERAGE(K158:K163)</f>
        <v>-1.6666666666666666E-2</v>
      </c>
    </row>
    <row r="165" spans="1:11" x14ac:dyDescent="0.25">
      <c r="A165" s="5"/>
      <c r="B165" s="6"/>
      <c r="C165" s="6"/>
      <c r="D165" s="6"/>
      <c r="E165" s="6"/>
      <c r="F165" s="6"/>
      <c r="G165" s="20" t="s">
        <v>9</v>
      </c>
      <c r="H165" s="20"/>
      <c r="I165" s="8">
        <f>SUMSQ(I158:I163)</f>
        <v>12</v>
      </c>
      <c r="J165" s="10"/>
      <c r="K165" s="15"/>
    </row>
    <row r="166" spans="1:11" x14ac:dyDescent="0.25">
      <c r="A166" s="11"/>
      <c r="B166" s="12"/>
      <c r="C166" s="12"/>
      <c r="D166" s="12"/>
      <c r="E166" s="12"/>
      <c r="F166" s="12"/>
      <c r="G166" s="21"/>
      <c r="H166" s="21"/>
      <c r="I166" s="18"/>
      <c r="J166" s="13"/>
      <c r="K166" s="16"/>
    </row>
    <row r="167" spans="1:11" x14ac:dyDescent="0.25">
      <c r="A167" s="2" t="s">
        <v>13</v>
      </c>
      <c r="B167" s="3">
        <f>B152+1</f>
        <v>12</v>
      </c>
      <c r="C167" s="3"/>
      <c r="D167" s="3"/>
      <c r="E167" s="3"/>
      <c r="F167" s="3"/>
      <c r="G167" s="19"/>
      <c r="H167" s="19"/>
      <c r="I167" s="17"/>
      <c r="J167" s="3"/>
      <c r="K167" s="4"/>
    </row>
    <row r="168" spans="1:11" x14ac:dyDescent="0.25">
      <c r="A168" s="5"/>
      <c r="B168" s="6" t="s">
        <v>4</v>
      </c>
      <c r="C168" s="6" t="s">
        <v>5</v>
      </c>
      <c r="D168" s="6" t="s">
        <v>6</v>
      </c>
      <c r="E168" s="6"/>
      <c r="F168" s="6"/>
      <c r="G168" s="20"/>
      <c r="H168" s="20"/>
      <c r="I168" s="8"/>
      <c r="J168" s="6"/>
      <c r="K168" s="7"/>
    </row>
    <row r="169" spans="1:11" x14ac:dyDescent="0.25">
      <c r="A169" s="5">
        <v>1</v>
      </c>
      <c r="B169" s="14">
        <f>B154+J164</f>
        <v>0.7799999999999998</v>
      </c>
      <c r="C169" s="14">
        <f>C154+K164</f>
        <v>0.8166666666666661</v>
      </c>
      <c r="D169" s="6">
        <f>D154</f>
        <v>-1</v>
      </c>
      <c r="E169" s="6"/>
      <c r="F169" s="6"/>
      <c r="G169" s="20"/>
      <c r="H169" s="20"/>
      <c r="I169" s="8"/>
      <c r="J169" s="6"/>
      <c r="K169" s="7"/>
    </row>
    <row r="170" spans="1:11" x14ac:dyDescent="0.25">
      <c r="A170" s="5"/>
      <c r="B170" s="6"/>
      <c r="C170" s="6"/>
      <c r="D170" s="6"/>
      <c r="E170" s="6"/>
      <c r="F170" s="6"/>
      <c r="G170" s="20"/>
      <c r="H170" s="20"/>
      <c r="I170" s="8"/>
      <c r="J170" s="6"/>
      <c r="K170" s="7"/>
    </row>
    <row r="171" spans="1:11" x14ac:dyDescent="0.25">
      <c r="A171" s="5"/>
      <c r="B171" s="6"/>
      <c r="C171" s="6"/>
      <c r="D171" s="6"/>
      <c r="E171" s="6"/>
      <c r="F171" s="6"/>
      <c r="G171" s="20"/>
      <c r="H171" s="20"/>
      <c r="I171" s="8"/>
      <c r="J171" s="6"/>
      <c r="K171" s="7"/>
    </row>
    <row r="172" spans="1:11" x14ac:dyDescent="0.25">
      <c r="A172" s="5" t="s">
        <v>10</v>
      </c>
      <c r="B172" s="6" t="s">
        <v>2</v>
      </c>
      <c r="C172" s="6" t="s">
        <v>3</v>
      </c>
      <c r="D172" s="6" t="s">
        <v>0</v>
      </c>
      <c r="E172" s="6" t="s">
        <v>15</v>
      </c>
      <c r="F172" s="6" t="s">
        <v>1</v>
      </c>
      <c r="G172" s="20" t="s">
        <v>17</v>
      </c>
      <c r="H172" s="20" t="s">
        <v>16</v>
      </c>
      <c r="I172" s="8" t="s">
        <v>7</v>
      </c>
      <c r="J172" s="6" t="s">
        <v>11</v>
      </c>
      <c r="K172" s="7" t="s">
        <v>12</v>
      </c>
    </row>
    <row r="173" spans="1:11" x14ac:dyDescent="0.25">
      <c r="A173" s="5">
        <v>1</v>
      </c>
      <c r="B173" s="6">
        <f>B158</f>
        <v>4</v>
      </c>
      <c r="C173" s="6">
        <f>C158</f>
        <v>3</v>
      </c>
      <c r="D173" s="8">
        <f>B173*B169+C173*C169+D169</f>
        <v>4.5699999999999976</v>
      </c>
      <c r="E173" s="6">
        <f>IF(D173&gt;=0,$F$1,$E$1)</f>
        <v>1</v>
      </c>
      <c r="F173" s="6">
        <f>$F$8</f>
        <v>1</v>
      </c>
      <c r="G173" s="20" t="str">
        <f>IF(E173&gt;0,"A","B")</f>
        <v>A</v>
      </c>
      <c r="H173" s="20" t="str">
        <f>IF(F173&gt;0,"A","B")</f>
        <v>A</v>
      </c>
      <c r="I173" s="8">
        <f t="shared" ref="I173:I178" si="116">F173-E173</f>
        <v>0</v>
      </c>
      <c r="J173" s="8">
        <f t="shared" ref="J173:J178" si="117">$C$1*I173*B173</f>
        <v>0</v>
      </c>
      <c r="K173" s="9">
        <f t="shared" ref="K173:K178" si="118">$C$1*I173*C173</f>
        <v>0</v>
      </c>
    </row>
    <row r="174" spans="1:11" x14ac:dyDescent="0.25">
      <c r="A174" s="5">
        <v>2</v>
      </c>
      <c r="B174" s="6">
        <f t="shared" ref="B174:C174" si="119">B159</f>
        <v>1</v>
      </c>
      <c r="C174" s="6">
        <f t="shared" si="119"/>
        <v>1</v>
      </c>
      <c r="D174" s="8">
        <f>B174*B169+C174*C169+D169</f>
        <v>0.59666666666666579</v>
      </c>
      <c r="E174" s="6">
        <f t="shared" ref="E174:E178" si="120">IF(D174&gt;=0,$F$1,$E$1)</f>
        <v>1</v>
      </c>
      <c r="F174" s="6">
        <f>$F$9</f>
        <v>-1</v>
      </c>
      <c r="G174" s="20" t="str">
        <f t="shared" ref="G174:G178" si="121">IF(E174&gt;0,"A","B")</f>
        <v>A</v>
      </c>
      <c r="H174" s="20" t="str">
        <f t="shared" ref="H174:H178" si="122">IF(F174&gt;0,"A","B")</f>
        <v>B</v>
      </c>
      <c r="I174" s="8">
        <f t="shared" si="116"/>
        <v>-2</v>
      </c>
      <c r="J174" s="8">
        <f t="shared" si="117"/>
        <v>-0.02</v>
      </c>
      <c r="K174" s="9">
        <f t="shared" si="118"/>
        <v>-0.02</v>
      </c>
    </row>
    <row r="175" spans="1:11" x14ac:dyDescent="0.25">
      <c r="A175" s="5">
        <v>3</v>
      </c>
      <c r="B175" s="6">
        <f t="shared" ref="B175:C175" si="123">B160</f>
        <v>2</v>
      </c>
      <c r="C175" s="6">
        <f t="shared" si="123"/>
        <v>2</v>
      </c>
      <c r="D175" s="8">
        <f>B175*B169+C175*C169+D169</f>
        <v>2.1933333333333316</v>
      </c>
      <c r="E175" s="6">
        <f t="shared" si="120"/>
        <v>1</v>
      </c>
      <c r="F175" s="6">
        <f>$F$10</f>
        <v>-1</v>
      </c>
      <c r="G175" s="20" t="str">
        <f t="shared" si="121"/>
        <v>A</v>
      </c>
      <c r="H175" s="20" t="str">
        <f t="shared" si="122"/>
        <v>B</v>
      </c>
      <c r="I175" s="8">
        <f t="shared" si="116"/>
        <v>-2</v>
      </c>
      <c r="J175" s="8">
        <f t="shared" si="117"/>
        <v>-0.04</v>
      </c>
      <c r="K175" s="9">
        <f t="shared" si="118"/>
        <v>-0.04</v>
      </c>
    </row>
    <row r="176" spans="1:11" x14ac:dyDescent="0.25">
      <c r="A176" s="5">
        <v>4</v>
      </c>
      <c r="B176" s="6">
        <f t="shared" ref="B176:C176" si="124">B161</f>
        <v>2</v>
      </c>
      <c r="C176" s="6">
        <f t="shared" si="124"/>
        <v>3</v>
      </c>
      <c r="D176" s="8">
        <f>B176*B169+C176*C169+D169</f>
        <v>3.009999999999998</v>
      </c>
      <c r="E176" s="6">
        <f t="shared" si="120"/>
        <v>1</v>
      </c>
      <c r="F176" s="6">
        <f>$F$11</f>
        <v>1</v>
      </c>
      <c r="G176" s="20" t="str">
        <f t="shared" si="121"/>
        <v>A</v>
      </c>
      <c r="H176" s="20" t="str">
        <f t="shared" si="122"/>
        <v>A</v>
      </c>
      <c r="I176" s="8">
        <f t="shared" si="116"/>
        <v>0</v>
      </c>
      <c r="J176" s="8">
        <f t="shared" si="117"/>
        <v>0</v>
      </c>
      <c r="K176" s="9">
        <f t="shared" si="118"/>
        <v>0</v>
      </c>
    </row>
    <row r="177" spans="1:11" x14ac:dyDescent="0.25">
      <c r="A177" s="5">
        <v>5</v>
      </c>
      <c r="B177" s="6">
        <f t="shared" ref="B177:C177" si="125">B162</f>
        <v>5</v>
      </c>
      <c r="C177" s="6">
        <f t="shared" si="125"/>
        <v>3</v>
      </c>
      <c r="D177" s="8">
        <f>B177*B169+C177*C169+D169</f>
        <v>5.3499999999999979</v>
      </c>
      <c r="E177" s="6">
        <f t="shared" si="120"/>
        <v>1</v>
      </c>
      <c r="F177" s="6">
        <f>$F$12</f>
        <v>1</v>
      </c>
      <c r="G177" s="20" t="str">
        <f t="shared" si="121"/>
        <v>A</v>
      </c>
      <c r="H177" s="20" t="str">
        <f t="shared" si="122"/>
        <v>A</v>
      </c>
      <c r="I177" s="8">
        <f t="shared" si="116"/>
        <v>0</v>
      </c>
      <c r="J177" s="8">
        <f t="shared" si="117"/>
        <v>0</v>
      </c>
      <c r="K177" s="9">
        <f t="shared" si="118"/>
        <v>0</v>
      </c>
    </row>
    <row r="178" spans="1:11" x14ac:dyDescent="0.25">
      <c r="A178" s="5">
        <v>6</v>
      </c>
      <c r="B178" s="6">
        <f t="shared" ref="B178:C178" si="126">B163</f>
        <v>3</v>
      </c>
      <c r="C178" s="6">
        <f t="shared" si="126"/>
        <v>2</v>
      </c>
      <c r="D178" s="8">
        <f>B178*B169+C178*C169+D169</f>
        <v>2.9733333333333318</v>
      </c>
      <c r="E178" s="6">
        <f t="shared" si="120"/>
        <v>1</v>
      </c>
      <c r="F178" s="6">
        <f>$F$13</f>
        <v>-1</v>
      </c>
      <c r="G178" s="20" t="str">
        <f t="shared" si="121"/>
        <v>A</v>
      </c>
      <c r="H178" s="20" t="str">
        <f t="shared" si="122"/>
        <v>B</v>
      </c>
      <c r="I178" s="8">
        <f t="shared" si="116"/>
        <v>-2</v>
      </c>
      <c r="J178" s="8">
        <f t="shared" si="117"/>
        <v>-0.06</v>
      </c>
      <c r="K178" s="9">
        <f t="shared" si="118"/>
        <v>-0.04</v>
      </c>
    </row>
    <row r="179" spans="1:11" x14ac:dyDescent="0.25">
      <c r="A179" s="5"/>
      <c r="B179" s="6"/>
      <c r="C179" s="6"/>
      <c r="D179" s="6"/>
      <c r="E179" s="6"/>
      <c r="F179" s="6"/>
      <c r="G179" s="20" t="s">
        <v>8</v>
      </c>
      <c r="H179" s="20"/>
      <c r="I179" s="8">
        <f>SUM(I173:I178)</f>
        <v>-6</v>
      </c>
      <c r="J179" s="8">
        <f>AVERAGE(J173:J178)</f>
        <v>-0.02</v>
      </c>
      <c r="K179" s="9">
        <f>AVERAGE(K173:K178)</f>
        <v>-1.6666666666666666E-2</v>
      </c>
    </row>
    <row r="180" spans="1:11" x14ac:dyDescent="0.25">
      <c r="A180" s="5"/>
      <c r="B180" s="6"/>
      <c r="C180" s="6"/>
      <c r="D180" s="6"/>
      <c r="E180" s="6"/>
      <c r="F180" s="6"/>
      <c r="G180" s="20" t="s">
        <v>9</v>
      </c>
      <c r="H180" s="20"/>
      <c r="I180" s="8">
        <f>SUMSQ(I173:I178)</f>
        <v>12</v>
      </c>
      <c r="J180" s="10"/>
      <c r="K180" s="15"/>
    </row>
    <row r="181" spans="1:11" x14ac:dyDescent="0.25">
      <c r="A181" s="11"/>
      <c r="B181" s="12"/>
      <c r="C181" s="12"/>
      <c r="D181" s="12"/>
      <c r="E181" s="12"/>
      <c r="F181" s="12"/>
      <c r="G181" s="21"/>
      <c r="H181" s="21"/>
      <c r="I181" s="18"/>
      <c r="J181" s="13"/>
      <c r="K181" s="16"/>
    </row>
    <row r="182" spans="1:11" x14ac:dyDescent="0.25">
      <c r="A182" s="2" t="s">
        <v>13</v>
      </c>
      <c r="B182" s="3">
        <f>B167+1</f>
        <v>13</v>
      </c>
      <c r="C182" s="3"/>
      <c r="D182" s="3"/>
      <c r="E182" s="3"/>
      <c r="F182" s="3"/>
      <c r="G182" s="19"/>
      <c r="H182" s="19"/>
      <c r="I182" s="17"/>
      <c r="J182" s="3"/>
      <c r="K182" s="4"/>
    </row>
    <row r="183" spans="1:11" x14ac:dyDescent="0.25">
      <c r="A183" s="5"/>
      <c r="B183" s="6" t="s">
        <v>4</v>
      </c>
      <c r="C183" s="6" t="s">
        <v>5</v>
      </c>
      <c r="D183" s="6" t="s">
        <v>6</v>
      </c>
      <c r="E183" s="6"/>
      <c r="F183" s="6"/>
      <c r="G183" s="20"/>
      <c r="H183" s="20"/>
      <c r="I183" s="8"/>
      <c r="J183" s="6"/>
      <c r="K183" s="7"/>
    </row>
    <row r="184" spans="1:11" x14ac:dyDescent="0.25">
      <c r="A184" s="5">
        <v>1</v>
      </c>
      <c r="B184" s="14">
        <f>B169+J179</f>
        <v>0.75999999999999979</v>
      </c>
      <c r="C184" s="14">
        <f>C169+K179</f>
        <v>0.79999999999999938</v>
      </c>
      <c r="D184" s="6">
        <f>D169</f>
        <v>-1</v>
      </c>
      <c r="E184" s="6"/>
      <c r="F184" s="6"/>
      <c r="G184" s="20"/>
      <c r="H184" s="20"/>
      <c r="I184" s="8"/>
      <c r="J184" s="6"/>
      <c r="K184" s="7"/>
    </row>
    <row r="185" spans="1:11" x14ac:dyDescent="0.25">
      <c r="A185" s="5"/>
      <c r="B185" s="6"/>
      <c r="C185" s="6"/>
      <c r="D185" s="6"/>
      <c r="E185" s="6"/>
      <c r="F185" s="6"/>
      <c r="G185" s="20"/>
      <c r="H185" s="20"/>
      <c r="I185" s="8"/>
      <c r="J185" s="6"/>
      <c r="K185" s="7"/>
    </row>
    <row r="186" spans="1:11" x14ac:dyDescent="0.25">
      <c r="A186" s="5"/>
      <c r="B186" s="6"/>
      <c r="C186" s="6"/>
      <c r="D186" s="6"/>
      <c r="E186" s="6"/>
      <c r="F186" s="6"/>
      <c r="G186" s="20"/>
      <c r="H186" s="20"/>
      <c r="I186" s="8"/>
      <c r="J186" s="6"/>
      <c r="K186" s="7"/>
    </row>
    <row r="187" spans="1:11" x14ac:dyDescent="0.25">
      <c r="A187" s="5" t="s">
        <v>10</v>
      </c>
      <c r="B187" s="6" t="s">
        <v>2</v>
      </c>
      <c r="C187" s="6" t="s">
        <v>3</v>
      </c>
      <c r="D187" s="6" t="s">
        <v>0</v>
      </c>
      <c r="E187" s="6" t="s">
        <v>15</v>
      </c>
      <c r="F187" s="6" t="s">
        <v>1</v>
      </c>
      <c r="G187" s="20" t="s">
        <v>17</v>
      </c>
      <c r="H187" s="20" t="s">
        <v>16</v>
      </c>
      <c r="I187" s="8" t="s">
        <v>7</v>
      </c>
      <c r="J187" s="6" t="s">
        <v>11</v>
      </c>
      <c r="K187" s="7" t="s">
        <v>12</v>
      </c>
    </row>
    <row r="188" spans="1:11" x14ac:dyDescent="0.25">
      <c r="A188" s="5">
        <v>1</v>
      </c>
      <c r="B188" s="6">
        <f>B173</f>
        <v>4</v>
      </c>
      <c r="C188" s="6">
        <f>C173</f>
        <v>3</v>
      </c>
      <c r="D188" s="8">
        <f>B188*B184+C188*C184+D184</f>
        <v>4.4399999999999977</v>
      </c>
      <c r="E188" s="6">
        <f>IF(D188&gt;=0,$F$1,$E$1)</f>
        <v>1</v>
      </c>
      <c r="F188" s="6">
        <f>$F$8</f>
        <v>1</v>
      </c>
      <c r="G188" s="20" t="str">
        <f>IF(E188&gt;0,"A","B")</f>
        <v>A</v>
      </c>
      <c r="H188" s="20" t="str">
        <f>IF(F188&gt;0,"A","B")</f>
        <v>A</v>
      </c>
      <c r="I188" s="8">
        <f t="shared" ref="I188:I193" si="127">F188-E188</f>
        <v>0</v>
      </c>
      <c r="J188" s="8">
        <f t="shared" ref="J188:J193" si="128">$C$1*I188*B188</f>
        <v>0</v>
      </c>
      <c r="K188" s="9">
        <f t="shared" ref="K188:K193" si="129">$C$1*I188*C188</f>
        <v>0</v>
      </c>
    </row>
    <row r="189" spans="1:11" x14ac:dyDescent="0.25">
      <c r="A189" s="5">
        <v>2</v>
      </c>
      <c r="B189" s="6">
        <f t="shared" ref="B189:C189" si="130">B174</f>
        <v>1</v>
      </c>
      <c r="C189" s="6">
        <f t="shared" si="130"/>
        <v>1</v>
      </c>
      <c r="D189" s="8">
        <f>B189*B184+C189*C184+D184</f>
        <v>0.55999999999999917</v>
      </c>
      <c r="E189" s="6">
        <f t="shared" ref="E189:E193" si="131">IF(D189&gt;=0,$F$1,$E$1)</f>
        <v>1</v>
      </c>
      <c r="F189" s="6">
        <f>$F$9</f>
        <v>-1</v>
      </c>
      <c r="G189" s="20" t="str">
        <f t="shared" ref="G189:G193" si="132">IF(E189&gt;0,"A","B")</f>
        <v>A</v>
      </c>
      <c r="H189" s="20" t="str">
        <f t="shared" ref="H189:H193" si="133">IF(F189&gt;0,"A","B")</f>
        <v>B</v>
      </c>
      <c r="I189" s="8">
        <f t="shared" si="127"/>
        <v>-2</v>
      </c>
      <c r="J189" s="8">
        <f t="shared" si="128"/>
        <v>-0.02</v>
      </c>
      <c r="K189" s="9">
        <f t="shared" si="129"/>
        <v>-0.02</v>
      </c>
    </row>
    <row r="190" spans="1:11" x14ac:dyDescent="0.25">
      <c r="A190" s="5">
        <v>3</v>
      </c>
      <c r="B190" s="6">
        <f t="shared" ref="B190:C190" si="134">B175</f>
        <v>2</v>
      </c>
      <c r="C190" s="6">
        <f t="shared" si="134"/>
        <v>2</v>
      </c>
      <c r="D190" s="8">
        <f>B190*B184+C190*C184+D184</f>
        <v>2.1199999999999983</v>
      </c>
      <c r="E190" s="6">
        <f t="shared" si="131"/>
        <v>1</v>
      </c>
      <c r="F190" s="6">
        <f>$F$10</f>
        <v>-1</v>
      </c>
      <c r="G190" s="20" t="str">
        <f t="shared" si="132"/>
        <v>A</v>
      </c>
      <c r="H190" s="20" t="str">
        <f t="shared" si="133"/>
        <v>B</v>
      </c>
      <c r="I190" s="8">
        <f t="shared" si="127"/>
        <v>-2</v>
      </c>
      <c r="J190" s="8">
        <f t="shared" si="128"/>
        <v>-0.04</v>
      </c>
      <c r="K190" s="9">
        <f t="shared" si="129"/>
        <v>-0.04</v>
      </c>
    </row>
    <row r="191" spans="1:11" x14ac:dyDescent="0.25">
      <c r="A191" s="5">
        <v>4</v>
      </c>
      <c r="B191" s="6">
        <f t="shared" ref="B191:C191" si="135">B176</f>
        <v>2</v>
      </c>
      <c r="C191" s="6">
        <f t="shared" si="135"/>
        <v>3</v>
      </c>
      <c r="D191" s="8">
        <f>B191*B184+C191*C184+D184</f>
        <v>2.9199999999999977</v>
      </c>
      <c r="E191" s="6">
        <f t="shared" si="131"/>
        <v>1</v>
      </c>
      <c r="F191" s="6">
        <f>$F$11</f>
        <v>1</v>
      </c>
      <c r="G191" s="20" t="str">
        <f t="shared" si="132"/>
        <v>A</v>
      </c>
      <c r="H191" s="20" t="str">
        <f t="shared" si="133"/>
        <v>A</v>
      </c>
      <c r="I191" s="8">
        <f t="shared" si="127"/>
        <v>0</v>
      </c>
      <c r="J191" s="8">
        <f t="shared" si="128"/>
        <v>0</v>
      </c>
      <c r="K191" s="9">
        <f t="shared" si="129"/>
        <v>0</v>
      </c>
    </row>
    <row r="192" spans="1:11" x14ac:dyDescent="0.25">
      <c r="A192" s="5">
        <v>5</v>
      </c>
      <c r="B192" s="6">
        <f t="shared" ref="B192:C192" si="136">B177</f>
        <v>5</v>
      </c>
      <c r="C192" s="6">
        <f t="shared" si="136"/>
        <v>3</v>
      </c>
      <c r="D192" s="8">
        <f>B192*B184+C192*C184+D184</f>
        <v>5.1999999999999975</v>
      </c>
      <c r="E192" s="6">
        <f t="shared" si="131"/>
        <v>1</v>
      </c>
      <c r="F192" s="6">
        <f>$F$12</f>
        <v>1</v>
      </c>
      <c r="G192" s="20" t="str">
        <f t="shared" si="132"/>
        <v>A</v>
      </c>
      <c r="H192" s="20" t="str">
        <f t="shared" si="133"/>
        <v>A</v>
      </c>
      <c r="I192" s="8">
        <f t="shared" si="127"/>
        <v>0</v>
      </c>
      <c r="J192" s="8">
        <f t="shared" si="128"/>
        <v>0</v>
      </c>
      <c r="K192" s="9">
        <f t="shared" si="129"/>
        <v>0</v>
      </c>
    </row>
    <row r="193" spans="1:11" x14ac:dyDescent="0.25">
      <c r="A193" s="5">
        <v>6</v>
      </c>
      <c r="B193" s="6">
        <f t="shared" ref="B193:C193" si="137">B178</f>
        <v>3</v>
      </c>
      <c r="C193" s="6">
        <f t="shared" si="137"/>
        <v>2</v>
      </c>
      <c r="D193" s="8">
        <f>B193*B184+C193*C184+D184</f>
        <v>2.8799999999999981</v>
      </c>
      <c r="E193" s="6">
        <f t="shared" si="131"/>
        <v>1</v>
      </c>
      <c r="F193" s="6">
        <f>$F$13</f>
        <v>-1</v>
      </c>
      <c r="G193" s="20" t="str">
        <f t="shared" si="132"/>
        <v>A</v>
      </c>
      <c r="H193" s="20" t="str">
        <f t="shared" si="133"/>
        <v>B</v>
      </c>
      <c r="I193" s="8">
        <f t="shared" si="127"/>
        <v>-2</v>
      </c>
      <c r="J193" s="8">
        <f t="shared" si="128"/>
        <v>-0.06</v>
      </c>
      <c r="K193" s="9">
        <f t="shared" si="129"/>
        <v>-0.04</v>
      </c>
    </row>
    <row r="194" spans="1:11" x14ac:dyDescent="0.25">
      <c r="A194" s="5"/>
      <c r="B194" s="6"/>
      <c r="C194" s="6"/>
      <c r="D194" s="6"/>
      <c r="E194" s="6"/>
      <c r="F194" s="6"/>
      <c r="G194" s="20" t="s">
        <v>8</v>
      </c>
      <c r="H194" s="20"/>
      <c r="I194" s="8">
        <f>SUM(I188:I193)</f>
        <v>-6</v>
      </c>
      <c r="J194" s="8">
        <f>AVERAGE(J188:J193)</f>
        <v>-0.02</v>
      </c>
      <c r="K194" s="9">
        <f>AVERAGE(K188:K193)</f>
        <v>-1.6666666666666666E-2</v>
      </c>
    </row>
    <row r="195" spans="1:11" x14ac:dyDescent="0.25">
      <c r="A195" s="5"/>
      <c r="B195" s="6"/>
      <c r="C195" s="6"/>
      <c r="D195" s="6"/>
      <c r="E195" s="6"/>
      <c r="F195" s="6"/>
      <c r="G195" s="20" t="s">
        <v>9</v>
      </c>
      <c r="H195" s="20"/>
      <c r="I195" s="8">
        <f>SUMSQ(I188:I193)</f>
        <v>12</v>
      </c>
      <c r="J195" s="10"/>
      <c r="K195" s="15"/>
    </row>
    <row r="196" spans="1:11" x14ac:dyDescent="0.25">
      <c r="A196" s="11"/>
      <c r="B196" s="12"/>
      <c r="C196" s="12"/>
      <c r="D196" s="12"/>
      <c r="E196" s="12"/>
      <c r="F196" s="12"/>
      <c r="G196" s="21"/>
      <c r="H196" s="21"/>
      <c r="I196" s="18"/>
      <c r="J196" s="13"/>
      <c r="K196" s="16"/>
    </row>
    <row r="197" spans="1:11" x14ac:dyDescent="0.25">
      <c r="A197" s="2" t="s">
        <v>13</v>
      </c>
      <c r="B197" s="3">
        <f>B182+1</f>
        <v>14</v>
      </c>
      <c r="C197" s="3"/>
      <c r="D197" s="3"/>
      <c r="E197" s="3"/>
      <c r="F197" s="3"/>
      <c r="G197" s="19"/>
      <c r="H197" s="19"/>
      <c r="I197" s="17"/>
      <c r="J197" s="3"/>
      <c r="K197" s="4"/>
    </row>
    <row r="198" spans="1:11" x14ac:dyDescent="0.25">
      <c r="A198" s="5"/>
      <c r="B198" s="6" t="s">
        <v>4</v>
      </c>
      <c r="C198" s="6" t="s">
        <v>5</v>
      </c>
      <c r="D198" s="6" t="s">
        <v>6</v>
      </c>
      <c r="E198" s="6"/>
      <c r="F198" s="6"/>
      <c r="G198" s="20"/>
      <c r="H198" s="20"/>
      <c r="I198" s="8"/>
      <c r="J198" s="6"/>
      <c r="K198" s="7"/>
    </row>
    <row r="199" spans="1:11" x14ac:dyDescent="0.25">
      <c r="A199" s="5">
        <v>1</v>
      </c>
      <c r="B199" s="14">
        <f>B184+J194</f>
        <v>0.73999999999999977</v>
      </c>
      <c r="C199" s="14">
        <f>C184+K194</f>
        <v>0.78333333333333266</v>
      </c>
      <c r="D199" s="6">
        <f>D184</f>
        <v>-1</v>
      </c>
      <c r="E199" s="6"/>
      <c r="F199" s="6"/>
      <c r="G199" s="20"/>
      <c r="H199" s="20"/>
      <c r="I199" s="8"/>
      <c r="J199" s="6"/>
      <c r="K199" s="7"/>
    </row>
    <row r="200" spans="1:11" x14ac:dyDescent="0.25">
      <c r="A200" s="5"/>
      <c r="B200" s="6"/>
      <c r="C200" s="6"/>
      <c r="D200" s="6"/>
      <c r="E200" s="6"/>
      <c r="F200" s="6"/>
      <c r="G200" s="20"/>
      <c r="H200" s="20"/>
      <c r="I200" s="8"/>
      <c r="J200" s="6"/>
      <c r="K200" s="7"/>
    </row>
    <row r="201" spans="1:11" x14ac:dyDescent="0.25">
      <c r="A201" s="5"/>
      <c r="B201" s="6"/>
      <c r="C201" s="6"/>
      <c r="D201" s="6"/>
      <c r="E201" s="6"/>
      <c r="F201" s="6"/>
      <c r="G201" s="20"/>
      <c r="H201" s="20"/>
      <c r="I201" s="8"/>
      <c r="J201" s="6"/>
      <c r="K201" s="7"/>
    </row>
    <row r="202" spans="1:11" x14ac:dyDescent="0.25">
      <c r="A202" s="5" t="s">
        <v>10</v>
      </c>
      <c r="B202" s="6" t="s">
        <v>2</v>
      </c>
      <c r="C202" s="6" t="s">
        <v>3</v>
      </c>
      <c r="D202" s="6" t="s">
        <v>0</v>
      </c>
      <c r="E202" s="6" t="s">
        <v>15</v>
      </c>
      <c r="F202" s="6" t="s">
        <v>1</v>
      </c>
      <c r="G202" s="20" t="s">
        <v>17</v>
      </c>
      <c r="H202" s="20" t="s">
        <v>16</v>
      </c>
      <c r="I202" s="8" t="s">
        <v>7</v>
      </c>
      <c r="J202" s="6" t="s">
        <v>11</v>
      </c>
      <c r="K202" s="7" t="s">
        <v>12</v>
      </c>
    </row>
    <row r="203" spans="1:11" x14ac:dyDescent="0.25">
      <c r="A203" s="5">
        <v>1</v>
      </c>
      <c r="B203" s="6">
        <f>B188</f>
        <v>4</v>
      </c>
      <c r="C203" s="6">
        <f>C188</f>
        <v>3</v>
      </c>
      <c r="D203" s="8">
        <f>B203*B199+C203*C199+D199</f>
        <v>4.3099999999999969</v>
      </c>
      <c r="E203" s="6">
        <f>IF(D203&gt;=0,$F$1,$E$1)</f>
        <v>1</v>
      </c>
      <c r="F203" s="6">
        <f>$F$8</f>
        <v>1</v>
      </c>
      <c r="G203" s="20" t="str">
        <f>IF(E203&gt;0,"A","B")</f>
        <v>A</v>
      </c>
      <c r="H203" s="20" t="str">
        <f>IF(F203&gt;0,"A","B")</f>
        <v>A</v>
      </c>
      <c r="I203" s="8">
        <f t="shared" ref="I203:I208" si="138">F203-E203</f>
        <v>0</v>
      </c>
      <c r="J203" s="8">
        <f t="shared" ref="J203:J208" si="139">$C$1*I203*B203</f>
        <v>0</v>
      </c>
      <c r="K203" s="9">
        <f t="shared" ref="K203:K208" si="140">$C$1*I203*C203</f>
        <v>0</v>
      </c>
    </row>
    <row r="204" spans="1:11" x14ac:dyDescent="0.25">
      <c r="A204" s="5">
        <v>2</v>
      </c>
      <c r="B204" s="6">
        <f t="shared" ref="B204:C204" si="141">B189</f>
        <v>1</v>
      </c>
      <c r="C204" s="6">
        <f t="shared" si="141"/>
        <v>1</v>
      </c>
      <c r="D204" s="8">
        <f>B204*B199+C204*C199+D199</f>
        <v>0.52333333333333254</v>
      </c>
      <c r="E204" s="6">
        <f t="shared" ref="E204:E208" si="142">IF(D204&gt;=0,$F$1,$E$1)</f>
        <v>1</v>
      </c>
      <c r="F204" s="6">
        <f>$F$9</f>
        <v>-1</v>
      </c>
      <c r="G204" s="20" t="str">
        <f t="shared" ref="G204:G208" si="143">IF(E204&gt;0,"A","B")</f>
        <v>A</v>
      </c>
      <c r="H204" s="20" t="str">
        <f t="shared" ref="H204:H208" si="144">IF(F204&gt;0,"A","B")</f>
        <v>B</v>
      </c>
      <c r="I204" s="8">
        <f t="shared" si="138"/>
        <v>-2</v>
      </c>
      <c r="J204" s="8">
        <f t="shared" si="139"/>
        <v>-0.02</v>
      </c>
      <c r="K204" s="9">
        <f t="shared" si="140"/>
        <v>-0.02</v>
      </c>
    </row>
    <row r="205" spans="1:11" x14ac:dyDescent="0.25">
      <c r="A205" s="5">
        <v>3</v>
      </c>
      <c r="B205" s="6">
        <f t="shared" ref="B205:C205" si="145">B190</f>
        <v>2</v>
      </c>
      <c r="C205" s="6">
        <f t="shared" si="145"/>
        <v>2</v>
      </c>
      <c r="D205" s="8">
        <f>B205*B199+C205*C199+D199</f>
        <v>2.0466666666666651</v>
      </c>
      <c r="E205" s="6">
        <f t="shared" si="142"/>
        <v>1</v>
      </c>
      <c r="F205" s="6">
        <f>$F$10</f>
        <v>-1</v>
      </c>
      <c r="G205" s="20" t="str">
        <f t="shared" si="143"/>
        <v>A</v>
      </c>
      <c r="H205" s="20" t="str">
        <f t="shared" si="144"/>
        <v>B</v>
      </c>
      <c r="I205" s="8">
        <f t="shared" si="138"/>
        <v>-2</v>
      </c>
      <c r="J205" s="8">
        <f t="shared" si="139"/>
        <v>-0.04</v>
      </c>
      <c r="K205" s="9">
        <f t="shared" si="140"/>
        <v>-0.04</v>
      </c>
    </row>
    <row r="206" spans="1:11" x14ac:dyDescent="0.25">
      <c r="A206" s="5">
        <v>4</v>
      </c>
      <c r="B206" s="6">
        <f t="shared" ref="B206:C206" si="146">B191</f>
        <v>2</v>
      </c>
      <c r="C206" s="6">
        <f t="shared" si="146"/>
        <v>3</v>
      </c>
      <c r="D206" s="8">
        <f>B206*B199+C206*C199+D199</f>
        <v>2.8299999999999974</v>
      </c>
      <c r="E206" s="6">
        <f t="shared" si="142"/>
        <v>1</v>
      </c>
      <c r="F206" s="6">
        <f>$F$11</f>
        <v>1</v>
      </c>
      <c r="G206" s="20" t="str">
        <f t="shared" si="143"/>
        <v>A</v>
      </c>
      <c r="H206" s="20" t="str">
        <f t="shared" si="144"/>
        <v>A</v>
      </c>
      <c r="I206" s="8">
        <f t="shared" si="138"/>
        <v>0</v>
      </c>
      <c r="J206" s="8">
        <f t="shared" si="139"/>
        <v>0</v>
      </c>
      <c r="K206" s="9">
        <f t="shared" si="140"/>
        <v>0</v>
      </c>
    </row>
    <row r="207" spans="1:11" x14ac:dyDescent="0.25">
      <c r="A207" s="5">
        <v>5</v>
      </c>
      <c r="B207" s="6">
        <f t="shared" ref="B207:C207" si="147">B192</f>
        <v>5</v>
      </c>
      <c r="C207" s="6">
        <f t="shared" si="147"/>
        <v>3</v>
      </c>
      <c r="D207" s="8">
        <f>B207*B199+C207*C199+D199</f>
        <v>5.0499999999999972</v>
      </c>
      <c r="E207" s="6">
        <f t="shared" si="142"/>
        <v>1</v>
      </c>
      <c r="F207" s="6">
        <f>$F$12</f>
        <v>1</v>
      </c>
      <c r="G207" s="20" t="str">
        <f t="shared" si="143"/>
        <v>A</v>
      </c>
      <c r="H207" s="20" t="str">
        <f t="shared" si="144"/>
        <v>A</v>
      </c>
      <c r="I207" s="8">
        <f t="shared" si="138"/>
        <v>0</v>
      </c>
      <c r="J207" s="8">
        <f t="shared" si="139"/>
        <v>0</v>
      </c>
      <c r="K207" s="9">
        <f t="shared" si="140"/>
        <v>0</v>
      </c>
    </row>
    <row r="208" spans="1:11" x14ac:dyDescent="0.25">
      <c r="A208" s="5">
        <v>6</v>
      </c>
      <c r="B208" s="6">
        <f t="shared" ref="B208:C208" si="148">B193</f>
        <v>3</v>
      </c>
      <c r="C208" s="6">
        <f t="shared" si="148"/>
        <v>2</v>
      </c>
      <c r="D208" s="8">
        <f>B208*B199+C208*C199+D199</f>
        <v>2.7866666666666644</v>
      </c>
      <c r="E208" s="6">
        <f t="shared" si="142"/>
        <v>1</v>
      </c>
      <c r="F208" s="6">
        <f>$F$13</f>
        <v>-1</v>
      </c>
      <c r="G208" s="20" t="str">
        <f t="shared" si="143"/>
        <v>A</v>
      </c>
      <c r="H208" s="20" t="str">
        <f t="shared" si="144"/>
        <v>B</v>
      </c>
      <c r="I208" s="8">
        <f t="shared" si="138"/>
        <v>-2</v>
      </c>
      <c r="J208" s="8">
        <f t="shared" si="139"/>
        <v>-0.06</v>
      </c>
      <c r="K208" s="9">
        <f t="shared" si="140"/>
        <v>-0.04</v>
      </c>
    </row>
    <row r="209" spans="1:11" x14ac:dyDescent="0.25">
      <c r="A209" s="5"/>
      <c r="B209" s="6"/>
      <c r="C209" s="6"/>
      <c r="D209" s="6"/>
      <c r="E209" s="6"/>
      <c r="F209" s="6"/>
      <c r="G209" s="20" t="s">
        <v>8</v>
      </c>
      <c r="H209" s="20"/>
      <c r="I209" s="8">
        <f>SUM(I203:I208)</f>
        <v>-6</v>
      </c>
      <c r="J209" s="8">
        <f>AVERAGE(J203:J208)</f>
        <v>-0.02</v>
      </c>
      <c r="K209" s="9">
        <f>AVERAGE(K203:K208)</f>
        <v>-1.6666666666666666E-2</v>
      </c>
    </row>
    <row r="210" spans="1:11" x14ac:dyDescent="0.25">
      <c r="A210" s="5"/>
      <c r="B210" s="6"/>
      <c r="C210" s="6"/>
      <c r="D210" s="6"/>
      <c r="E210" s="6"/>
      <c r="F210" s="6"/>
      <c r="G210" s="20" t="s">
        <v>9</v>
      </c>
      <c r="H210" s="20"/>
      <c r="I210" s="8">
        <f>SUMSQ(I203:I208)</f>
        <v>12</v>
      </c>
      <c r="J210" s="10"/>
      <c r="K210" s="15"/>
    </row>
    <row r="211" spans="1:11" x14ac:dyDescent="0.25">
      <c r="A211" s="11"/>
      <c r="B211" s="12"/>
      <c r="C211" s="12"/>
      <c r="D211" s="12"/>
      <c r="E211" s="12"/>
      <c r="F211" s="12"/>
      <c r="G211" s="21"/>
      <c r="H211" s="21"/>
      <c r="I211" s="18"/>
      <c r="J211" s="13"/>
      <c r="K211" s="16"/>
    </row>
    <row r="212" spans="1:11" x14ac:dyDescent="0.25">
      <c r="A212" s="2" t="s">
        <v>13</v>
      </c>
      <c r="B212" s="3">
        <f>B197+1</f>
        <v>15</v>
      </c>
      <c r="C212" s="3"/>
      <c r="D212" s="3"/>
      <c r="E212" s="3"/>
      <c r="F212" s="3"/>
      <c r="G212" s="19"/>
      <c r="H212" s="19"/>
      <c r="I212" s="17"/>
      <c r="J212" s="3"/>
      <c r="K212" s="4"/>
    </row>
    <row r="213" spans="1:11" x14ac:dyDescent="0.25">
      <c r="A213" s="5"/>
      <c r="B213" s="6" t="s">
        <v>4</v>
      </c>
      <c r="C213" s="6" t="s">
        <v>5</v>
      </c>
      <c r="D213" s="6" t="s">
        <v>6</v>
      </c>
      <c r="E213" s="6"/>
      <c r="F213" s="6"/>
      <c r="G213" s="20"/>
      <c r="H213" s="20"/>
      <c r="I213" s="8"/>
      <c r="J213" s="6"/>
      <c r="K213" s="7"/>
    </row>
    <row r="214" spans="1:11" x14ac:dyDescent="0.25">
      <c r="A214" s="5">
        <v>1</v>
      </c>
      <c r="B214" s="14">
        <f>B199+J209</f>
        <v>0.71999999999999975</v>
      </c>
      <c r="C214" s="14">
        <f>C199+K209</f>
        <v>0.76666666666666594</v>
      </c>
      <c r="D214" s="6">
        <f>D199</f>
        <v>-1</v>
      </c>
      <c r="E214" s="6"/>
      <c r="F214" s="6"/>
      <c r="G214" s="20"/>
      <c r="H214" s="20"/>
      <c r="I214" s="8"/>
      <c r="J214" s="6"/>
      <c r="K214" s="7"/>
    </row>
    <row r="215" spans="1:11" x14ac:dyDescent="0.25">
      <c r="A215" s="5"/>
      <c r="B215" s="6"/>
      <c r="C215" s="6"/>
      <c r="D215" s="6"/>
      <c r="E215" s="6"/>
      <c r="F215" s="6"/>
      <c r="G215" s="20"/>
      <c r="H215" s="20"/>
      <c r="I215" s="8"/>
      <c r="J215" s="6"/>
      <c r="K215" s="7"/>
    </row>
    <row r="216" spans="1:11" x14ac:dyDescent="0.25">
      <c r="A216" s="5"/>
      <c r="B216" s="6"/>
      <c r="C216" s="6"/>
      <c r="D216" s="6"/>
      <c r="E216" s="6"/>
      <c r="F216" s="6"/>
      <c r="G216" s="20"/>
      <c r="H216" s="20"/>
      <c r="I216" s="8"/>
      <c r="J216" s="6"/>
      <c r="K216" s="7"/>
    </row>
    <row r="217" spans="1:11" x14ac:dyDescent="0.25">
      <c r="A217" s="5" t="s">
        <v>10</v>
      </c>
      <c r="B217" s="6" t="s">
        <v>2</v>
      </c>
      <c r="C217" s="6" t="s">
        <v>3</v>
      </c>
      <c r="D217" s="6" t="s">
        <v>0</v>
      </c>
      <c r="E217" s="6" t="s">
        <v>15</v>
      </c>
      <c r="F217" s="6" t="s">
        <v>1</v>
      </c>
      <c r="G217" s="20" t="s">
        <v>17</v>
      </c>
      <c r="H217" s="20" t="s">
        <v>16</v>
      </c>
      <c r="I217" s="8" t="s">
        <v>7</v>
      </c>
      <c r="J217" s="6" t="s">
        <v>11</v>
      </c>
      <c r="K217" s="7" t="s">
        <v>12</v>
      </c>
    </row>
    <row r="218" spans="1:11" x14ac:dyDescent="0.25">
      <c r="A218" s="5">
        <v>1</v>
      </c>
      <c r="B218" s="6">
        <f>B203</f>
        <v>4</v>
      </c>
      <c r="C218" s="6">
        <f>C203</f>
        <v>3</v>
      </c>
      <c r="D218" s="8">
        <f>B218*B214+C218*C214+D214</f>
        <v>4.1799999999999971</v>
      </c>
      <c r="E218" s="6">
        <f>IF(D218&gt;=0,$F$1,$E$1)</f>
        <v>1</v>
      </c>
      <c r="F218" s="6">
        <f>$F$8</f>
        <v>1</v>
      </c>
      <c r="G218" s="20" t="str">
        <f>IF(E218&gt;0,"A","B")</f>
        <v>A</v>
      </c>
      <c r="H218" s="20" t="str">
        <f>IF(F218&gt;0,"A","B")</f>
        <v>A</v>
      </c>
      <c r="I218" s="8">
        <f t="shared" ref="I218:I223" si="149">F218-E218</f>
        <v>0</v>
      </c>
      <c r="J218" s="8">
        <f t="shared" ref="J218:J223" si="150">$C$1*I218*B218</f>
        <v>0</v>
      </c>
      <c r="K218" s="9">
        <f t="shared" ref="K218:K223" si="151">$C$1*I218*C218</f>
        <v>0</v>
      </c>
    </row>
    <row r="219" spans="1:11" x14ac:dyDescent="0.25">
      <c r="A219" s="5">
        <v>2</v>
      </c>
      <c r="B219" s="6">
        <f t="shared" ref="B219:C219" si="152">B204</f>
        <v>1</v>
      </c>
      <c r="C219" s="6">
        <f t="shared" si="152"/>
        <v>1</v>
      </c>
      <c r="D219" s="8">
        <f>B219*B214+C219*C214+D214</f>
        <v>0.48666666666666569</v>
      </c>
      <c r="E219" s="6">
        <f t="shared" ref="E219:E223" si="153">IF(D219&gt;=0,$F$1,$E$1)</f>
        <v>1</v>
      </c>
      <c r="F219" s="6">
        <f>$F$9</f>
        <v>-1</v>
      </c>
      <c r="G219" s="20" t="str">
        <f t="shared" ref="G219:G223" si="154">IF(E219&gt;0,"A","B")</f>
        <v>A</v>
      </c>
      <c r="H219" s="20" t="str">
        <f t="shared" ref="H219:H223" si="155">IF(F219&gt;0,"A","B")</f>
        <v>B</v>
      </c>
      <c r="I219" s="8">
        <f t="shared" si="149"/>
        <v>-2</v>
      </c>
      <c r="J219" s="8">
        <f t="shared" si="150"/>
        <v>-0.02</v>
      </c>
      <c r="K219" s="9">
        <f t="shared" si="151"/>
        <v>-0.02</v>
      </c>
    </row>
    <row r="220" spans="1:11" x14ac:dyDescent="0.25">
      <c r="A220" s="5">
        <v>3</v>
      </c>
      <c r="B220" s="6">
        <f t="shared" ref="B220:C220" si="156">B205</f>
        <v>2</v>
      </c>
      <c r="C220" s="6">
        <f t="shared" si="156"/>
        <v>2</v>
      </c>
      <c r="D220" s="8">
        <f>B220*B214+C220*C214+D214</f>
        <v>1.9733333333333314</v>
      </c>
      <c r="E220" s="6">
        <f t="shared" si="153"/>
        <v>1</v>
      </c>
      <c r="F220" s="6">
        <f>$F$10</f>
        <v>-1</v>
      </c>
      <c r="G220" s="20" t="str">
        <f t="shared" si="154"/>
        <v>A</v>
      </c>
      <c r="H220" s="20" t="str">
        <f t="shared" si="155"/>
        <v>B</v>
      </c>
      <c r="I220" s="8">
        <f t="shared" si="149"/>
        <v>-2</v>
      </c>
      <c r="J220" s="8">
        <f t="shared" si="150"/>
        <v>-0.04</v>
      </c>
      <c r="K220" s="9">
        <f t="shared" si="151"/>
        <v>-0.04</v>
      </c>
    </row>
    <row r="221" spans="1:11" x14ac:dyDescent="0.25">
      <c r="A221" s="5">
        <v>4</v>
      </c>
      <c r="B221" s="6">
        <f t="shared" ref="B221:C221" si="157">B206</f>
        <v>2</v>
      </c>
      <c r="C221" s="6">
        <f t="shared" si="157"/>
        <v>3</v>
      </c>
      <c r="D221" s="8">
        <f>B221*B214+C221*C214+D214</f>
        <v>2.7399999999999975</v>
      </c>
      <c r="E221" s="6">
        <f t="shared" si="153"/>
        <v>1</v>
      </c>
      <c r="F221" s="6">
        <f>$F$11</f>
        <v>1</v>
      </c>
      <c r="G221" s="20" t="str">
        <f t="shared" si="154"/>
        <v>A</v>
      </c>
      <c r="H221" s="20" t="str">
        <f t="shared" si="155"/>
        <v>A</v>
      </c>
      <c r="I221" s="8">
        <f t="shared" si="149"/>
        <v>0</v>
      </c>
      <c r="J221" s="8">
        <f t="shared" si="150"/>
        <v>0</v>
      </c>
      <c r="K221" s="9">
        <f t="shared" si="151"/>
        <v>0</v>
      </c>
    </row>
    <row r="222" spans="1:11" x14ac:dyDescent="0.25">
      <c r="A222" s="5">
        <v>5</v>
      </c>
      <c r="B222" s="6">
        <f t="shared" ref="B222:C222" si="158">B207</f>
        <v>5</v>
      </c>
      <c r="C222" s="6">
        <f t="shared" si="158"/>
        <v>3</v>
      </c>
      <c r="D222" s="8">
        <f>B222*B214+C222*C214+D214</f>
        <v>4.8999999999999968</v>
      </c>
      <c r="E222" s="6">
        <f t="shared" si="153"/>
        <v>1</v>
      </c>
      <c r="F222" s="6">
        <f>$F$12</f>
        <v>1</v>
      </c>
      <c r="G222" s="20" t="str">
        <f t="shared" si="154"/>
        <v>A</v>
      </c>
      <c r="H222" s="20" t="str">
        <f t="shared" si="155"/>
        <v>A</v>
      </c>
      <c r="I222" s="8">
        <f t="shared" si="149"/>
        <v>0</v>
      </c>
      <c r="J222" s="8">
        <f t="shared" si="150"/>
        <v>0</v>
      </c>
      <c r="K222" s="9">
        <f t="shared" si="151"/>
        <v>0</v>
      </c>
    </row>
    <row r="223" spans="1:11" x14ac:dyDescent="0.25">
      <c r="A223" s="5">
        <v>6</v>
      </c>
      <c r="B223" s="6">
        <f t="shared" ref="B223:C223" si="159">B208</f>
        <v>3</v>
      </c>
      <c r="C223" s="6">
        <f t="shared" si="159"/>
        <v>2</v>
      </c>
      <c r="D223" s="8">
        <f>B223*B214+C223*C214+D214</f>
        <v>2.6933333333333311</v>
      </c>
      <c r="E223" s="6">
        <f t="shared" si="153"/>
        <v>1</v>
      </c>
      <c r="F223" s="6">
        <f>$F$13</f>
        <v>-1</v>
      </c>
      <c r="G223" s="20" t="str">
        <f t="shared" si="154"/>
        <v>A</v>
      </c>
      <c r="H223" s="20" t="str">
        <f t="shared" si="155"/>
        <v>B</v>
      </c>
      <c r="I223" s="8">
        <f t="shared" si="149"/>
        <v>-2</v>
      </c>
      <c r="J223" s="8">
        <f t="shared" si="150"/>
        <v>-0.06</v>
      </c>
      <c r="K223" s="9">
        <f t="shared" si="151"/>
        <v>-0.04</v>
      </c>
    </row>
    <row r="224" spans="1:11" x14ac:dyDescent="0.25">
      <c r="A224" s="5"/>
      <c r="B224" s="6"/>
      <c r="C224" s="6"/>
      <c r="D224" s="6"/>
      <c r="E224" s="6"/>
      <c r="F224" s="6"/>
      <c r="G224" s="20" t="s">
        <v>8</v>
      </c>
      <c r="H224" s="20"/>
      <c r="I224" s="8">
        <f>SUM(I218:I223)</f>
        <v>-6</v>
      </c>
      <c r="J224" s="8">
        <f>AVERAGE(J218:J223)</f>
        <v>-0.02</v>
      </c>
      <c r="K224" s="9">
        <f>AVERAGE(K218:K223)</f>
        <v>-1.6666666666666666E-2</v>
      </c>
    </row>
    <row r="225" spans="1:11" x14ac:dyDescent="0.25">
      <c r="A225" s="5"/>
      <c r="B225" s="6"/>
      <c r="C225" s="6"/>
      <c r="D225" s="6"/>
      <c r="E225" s="6"/>
      <c r="F225" s="6"/>
      <c r="G225" s="20" t="s">
        <v>9</v>
      </c>
      <c r="H225" s="20"/>
      <c r="I225" s="8">
        <f>SUMSQ(I218:I223)</f>
        <v>12</v>
      </c>
      <c r="J225" s="10"/>
      <c r="K225" s="15"/>
    </row>
    <row r="226" spans="1:11" x14ac:dyDescent="0.25">
      <c r="A226" s="11"/>
      <c r="B226" s="12"/>
      <c r="C226" s="12"/>
      <c r="D226" s="12"/>
      <c r="E226" s="12"/>
      <c r="F226" s="12"/>
      <c r="G226" s="21"/>
      <c r="H226" s="21"/>
      <c r="I226" s="18"/>
      <c r="J226" s="13"/>
      <c r="K226" s="16"/>
    </row>
    <row r="227" spans="1:11" x14ac:dyDescent="0.25">
      <c r="A227" s="2" t="s">
        <v>13</v>
      </c>
      <c r="B227" s="3">
        <f>B212+1</f>
        <v>16</v>
      </c>
      <c r="C227" s="3"/>
      <c r="D227" s="3"/>
      <c r="E227" s="3"/>
      <c r="F227" s="3"/>
      <c r="G227" s="19"/>
      <c r="H227" s="19"/>
      <c r="I227" s="17"/>
      <c r="J227" s="3"/>
      <c r="K227" s="4"/>
    </row>
    <row r="228" spans="1:11" x14ac:dyDescent="0.25">
      <c r="A228" s="5"/>
      <c r="B228" s="6" t="s">
        <v>4</v>
      </c>
      <c r="C228" s="6" t="s">
        <v>5</v>
      </c>
      <c r="D228" s="6" t="s">
        <v>6</v>
      </c>
      <c r="E228" s="6"/>
      <c r="F228" s="6"/>
      <c r="G228" s="20"/>
      <c r="H228" s="20"/>
      <c r="I228" s="8"/>
      <c r="J228" s="6"/>
      <c r="K228" s="7"/>
    </row>
    <row r="229" spans="1:11" x14ac:dyDescent="0.25">
      <c r="A229" s="5">
        <v>1</v>
      </c>
      <c r="B229" s="14">
        <f>B214+J224</f>
        <v>0.69999999999999973</v>
      </c>
      <c r="C229" s="14">
        <f>C214+K224</f>
        <v>0.74999999999999922</v>
      </c>
      <c r="D229" s="6">
        <f>D214</f>
        <v>-1</v>
      </c>
      <c r="E229" s="6"/>
      <c r="F229" s="6"/>
      <c r="G229" s="20"/>
      <c r="H229" s="20"/>
      <c r="I229" s="8"/>
      <c r="J229" s="6"/>
      <c r="K229" s="7"/>
    </row>
    <row r="230" spans="1:11" x14ac:dyDescent="0.25">
      <c r="A230" s="5"/>
      <c r="B230" s="6"/>
      <c r="C230" s="6"/>
      <c r="D230" s="6"/>
      <c r="E230" s="6"/>
      <c r="F230" s="6"/>
      <c r="G230" s="20"/>
      <c r="H230" s="20"/>
      <c r="I230" s="8"/>
      <c r="J230" s="6"/>
      <c r="K230" s="7"/>
    </row>
    <row r="231" spans="1:11" x14ac:dyDescent="0.25">
      <c r="A231" s="5"/>
      <c r="B231" s="6"/>
      <c r="C231" s="6"/>
      <c r="D231" s="6"/>
      <c r="E231" s="6"/>
      <c r="F231" s="6"/>
      <c r="G231" s="20"/>
      <c r="H231" s="20"/>
      <c r="I231" s="8"/>
      <c r="J231" s="6"/>
      <c r="K231" s="7"/>
    </row>
    <row r="232" spans="1:11" x14ac:dyDescent="0.25">
      <c r="A232" s="5" t="s">
        <v>10</v>
      </c>
      <c r="B232" s="6" t="s">
        <v>2</v>
      </c>
      <c r="C232" s="6" t="s">
        <v>3</v>
      </c>
      <c r="D232" s="6" t="s">
        <v>0</v>
      </c>
      <c r="E232" s="6" t="s">
        <v>15</v>
      </c>
      <c r="F232" s="6" t="s">
        <v>1</v>
      </c>
      <c r="G232" s="20" t="s">
        <v>17</v>
      </c>
      <c r="H232" s="20" t="s">
        <v>16</v>
      </c>
      <c r="I232" s="8" t="s">
        <v>7</v>
      </c>
      <c r="J232" s="6" t="s">
        <v>11</v>
      </c>
      <c r="K232" s="7" t="s">
        <v>12</v>
      </c>
    </row>
    <row r="233" spans="1:11" x14ac:dyDescent="0.25">
      <c r="A233" s="5">
        <v>1</v>
      </c>
      <c r="B233" s="6">
        <f>B218</f>
        <v>4</v>
      </c>
      <c r="C233" s="6">
        <f>C218</f>
        <v>3</v>
      </c>
      <c r="D233" s="8">
        <f>B233*B229+C233*C229+D229</f>
        <v>4.0499999999999972</v>
      </c>
      <c r="E233" s="6">
        <f>IF(D233&gt;=0,$F$1,$E$1)</f>
        <v>1</v>
      </c>
      <c r="F233" s="6">
        <f>$F$8</f>
        <v>1</v>
      </c>
      <c r="G233" s="20" t="str">
        <f>IF(E233&gt;0,"A","B")</f>
        <v>A</v>
      </c>
      <c r="H233" s="20" t="str">
        <f>IF(F233&gt;0,"A","B")</f>
        <v>A</v>
      </c>
      <c r="I233" s="8">
        <f t="shared" ref="I233:I238" si="160">F233-E233</f>
        <v>0</v>
      </c>
      <c r="J233" s="8">
        <f t="shared" ref="J233:J238" si="161">$C$1*I233*B233</f>
        <v>0</v>
      </c>
      <c r="K233" s="9">
        <f t="shared" ref="K233:K238" si="162">$C$1*I233*C233</f>
        <v>0</v>
      </c>
    </row>
    <row r="234" spans="1:11" x14ac:dyDescent="0.25">
      <c r="A234" s="5">
        <v>2</v>
      </c>
      <c r="B234" s="6">
        <f t="shared" ref="B234:C234" si="163">B219</f>
        <v>1</v>
      </c>
      <c r="C234" s="6">
        <f t="shared" si="163"/>
        <v>1</v>
      </c>
      <c r="D234" s="8">
        <f>B234*B229+C234*C229+D229</f>
        <v>0.44999999999999885</v>
      </c>
      <c r="E234" s="6">
        <f t="shared" ref="E234:E238" si="164">IF(D234&gt;=0,$F$1,$E$1)</f>
        <v>1</v>
      </c>
      <c r="F234" s="6">
        <f>$F$9</f>
        <v>-1</v>
      </c>
      <c r="G234" s="20" t="str">
        <f t="shared" ref="G234:G238" si="165">IF(E234&gt;0,"A","B")</f>
        <v>A</v>
      </c>
      <c r="H234" s="20" t="str">
        <f t="shared" ref="H234:H238" si="166">IF(F234&gt;0,"A","B")</f>
        <v>B</v>
      </c>
      <c r="I234" s="8">
        <f t="shared" si="160"/>
        <v>-2</v>
      </c>
      <c r="J234" s="8">
        <f t="shared" si="161"/>
        <v>-0.02</v>
      </c>
      <c r="K234" s="9">
        <f t="shared" si="162"/>
        <v>-0.02</v>
      </c>
    </row>
    <row r="235" spans="1:11" x14ac:dyDescent="0.25">
      <c r="A235" s="5">
        <v>3</v>
      </c>
      <c r="B235" s="6">
        <f t="shared" ref="B235:C235" si="167">B220</f>
        <v>2</v>
      </c>
      <c r="C235" s="6">
        <f t="shared" si="167"/>
        <v>2</v>
      </c>
      <c r="D235" s="8">
        <f>B235*B229+C235*C229+D229</f>
        <v>1.8999999999999977</v>
      </c>
      <c r="E235" s="6">
        <f t="shared" si="164"/>
        <v>1</v>
      </c>
      <c r="F235" s="6">
        <f>$F$10</f>
        <v>-1</v>
      </c>
      <c r="G235" s="20" t="str">
        <f t="shared" si="165"/>
        <v>A</v>
      </c>
      <c r="H235" s="20" t="str">
        <f t="shared" si="166"/>
        <v>B</v>
      </c>
      <c r="I235" s="8">
        <f t="shared" si="160"/>
        <v>-2</v>
      </c>
      <c r="J235" s="8">
        <f t="shared" si="161"/>
        <v>-0.04</v>
      </c>
      <c r="K235" s="9">
        <f t="shared" si="162"/>
        <v>-0.04</v>
      </c>
    </row>
    <row r="236" spans="1:11" x14ac:dyDescent="0.25">
      <c r="A236" s="5">
        <v>4</v>
      </c>
      <c r="B236" s="6">
        <f t="shared" ref="B236:C236" si="168">B221</f>
        <v>2</v>
      </c>
      <c r="C236" s="6">
        <f t="shared" si="168"/>
        <v>3</v>
      </c>
      <c r="D236" s="8">
        <f>B236*B229+C236*C229+D229</f>
        <v>2.6499999999999972</v>
      </c>
      <c r="E236" s="6">
        <f t="shared" si="164"/>
        <v>1</v>
      </c>
      <c r="F236" s="6">
        <f>$F$11</f>
        <v>1</v>
      </c>
      <c r="G236" s="20" t="str">
        <f t="shared" si="165"/>
        <v>A</v>
      </c>
      <c r="H236" s="20" t="str">
        <f t="shared" si="166"/>
        <v>A</v>
      </c>
      <c r="I236" s="8">
        <f t="shared" si="160"/>
        <v>0</v>
      </c>
      <c r="J236" s="8">
        <f t="shared" si="161"/>
        <v>0</v>
      </c>
      <c r="K236" s="9">
        <f t="shared" si="162"/>
        <v>0</v>
      </c>
    </row>
    <row r="237" spans="1:11" x14ac:dyDescent="0.25">
      <c r="A237" s="5">
        <v>5</v>
      </c>
      <c r="B237" s="6">
        <f t="shared" ref="B237:C237" si="169">B222</f>
        <v>5</v>
      </c>
      <c r="C237" s="6">
        <f t="shared" si="169"/>
        <v>3</v>
      </c>
      <c r="D237" s="8">
        <f>B237*B229+C237*C229+D229</f>
        <v>4.7499999999999964</v>
      </c>
      <c r="E237" s="6">
        <f t="shared" si="164"/>
        <v>1</v>
      </c>
      <c r="F237" s="6">
        <f>$F$12</f>
        <v>1</v>
      </c>
      <c r="G237" s="20" t="str">
        <f t="shared" si="165"/>
        <v>A</v>
      </c>
      <c r="H237" s="20" t="str">
        <f t="shared" si="166"/>
        <v>A</v>
      </c>
      <c r="I237" s="8">
        <f t="shared" si="160"/>
        <v>0</v>
      </c>
      <c r="J237" s="8">
        <f t="shared" si="161"/>
        <v>0</v>
      </c>
      <c r="K237" s="9">
        <f t="shared" si="162"/>
        <v>0</v>
      </c>
    </row>
    <row r="238" spans="1:11" x14ac:dyDescent="0.25">
      <c r="A238" s="5">
        <v>6</v>
      </c>
      <c r="B238" s="6">
        <f t="shared" ref="B238:C238" si="170">B223</f>
        <v>3</v>
      </c>
      <c r="C238" s="6">
        <f t="shared" si="170"/>
        <v>2</v>
      </c>
      <c r="D238" s="8">
        <f>B238*B229+C238*C229+D229</f>
        <v>2.5999999999999979</v>
      </c>
      <c r="E238" s="6">
        <f t="shared" si="164"/>
        <v>1</v>
      </c>
      <c r="F238" s="6">
        <f>$F$13</f>
        <v>-1</v>
      </c>
      <c r="G238" s="20" t="str">
        <f t="shared" si="165"/>
        <v>A</v>
      </c>
      <c r="H238" s="20" t="str">
        <f t="shared" si="166"/>
        <v>B</v>
      </c>
      <c r="I238" s="8">
        <f t="shared" si="160"/>
        <v>-2</v>
      </c>
      <c r="J238" s="8">
        <f t="shared" si="161"/>
        <v>-0.06</v>
      </c>
      <c r="K238" s="9">
        <f t="shared" si="162"/>
        <v>-0.04</v>
      </c>
    </row>
    <row r="239" spans="1:11" x14ac:dyDescent="0.25">
      <c r="A239" s="5"/>
      <c r="B239" s="6"/>
      <c r="C239" s="6"/>
      <c r="D239" s="6"/>
      <c r="E239" s="6"/>
      <c r="F239" s="6"/>
      <c r="G239" s="20" t="s">
        <v>8</v>
      </c>
      <c r="H239" s="20"/>
      <c r="I239" s="8">
        <f>SUM(I233:I238)</f>
        <v>-6</v>
      </c>
      <c r="J239" s="8">
        <f>AVERAGE(J233:J238)</f>
        <v>-0.02</v>
      </c>
      <c r="K239" s="9">
        <f>AVERAGE(K233:K238)</f>
        <v>-1.6666666666666666E-2</v>
      </c>
    </row>
    <row r="240" spans="1:11" x14ac:dyDescent="0.25">
      <c r="A240" s="5"/>
      <c r="B240" s="6"/>
      <c r="C240" s="6"/>
      <c r="D240" s="6"/>
      <c r="E240" s="6"/>
      <c r="F240" s="6"/>
      <c r="G240" s="20" t="s">
        <v>9</v>
      </c>
      <c r="H240" s="20"/>
      <c r="I240" s="8">
        <f>SUMSQ(I233:I238)</f>
        <v>12</v>
      </c>
      <c r="J240" s="10"/>
      <c r="K240" s="15"/>
    </row>
    <row r="241" spans="1:11" x14ac:dyDescent="0.25">
      <c r="A241" s="11"/>
      <c r="B241" s="12"/>
      <c r="C241" s="12"/>
      <c r="D241" s="12"/>
      <c r="E241" s="12"/>
      <c r="F241" s="12"/>
      <c r="G241" s="21"/>
      <c r="H241" s="21"/>
      <c r="I241" s="18"/>
      <c r="J241" s="13"/>
      <c r="K241" s="16"/>
    </row>
    <row r="242" spans="1:11" x14ac:dyDescent="0.25">
      <c r="A242" s="2" t="s">
        <v>13</v>
      </c>
      <c r="B242" s="3">
        <f>B227+1</f>
        <v>17</v>
      </c>
      <c r="C242" s="3"/>
      <c r="D242" s="3"/>
      <c r="E242" s="3"/>
      <c r="F242" s="3"/>
      <c r="G242" s="19"/>
      <c r="H242" s="19"/>
      <c r="I242" s="17"/>
      <c r="J242" s="3"/>
      <c r="K242" s="4"/>
    </row>
    <row r="243" spans="1:11" x14ac:dyDescent="0.25">
      <c r="A243" s="5"/>
      <c r="B243" s="6" t="s">
        <v>4</v>
      </c>
      <c r="C243" s="6" t="s">
        <v>5</v>
      </c>
      <c r="D243" s="6" t="s">
        <v>6</v>
      </c>
      <c r="E243" s="6"/>
      <c r="F243" s="6"/>
      <c r="G243" s="20"/>
      <c r="H243" s="20"/>
      <c r="I243" s="8"/>
      <c r="J243" s="6"/>
      <c r="K243" s="7"/>
    </row>
    <row r="244" spans="1:11" x14ac:dyDescent="0.25">
      <c r="A244" s="5">
        <v>1</v>
      </c>
      <c r="B244" s="14">
        <f>B229+J239</f>
        <v>0.67999999999999972</v>
      </c>
      <c r="C244" s="14">
        <f>C229+K239</f>
        <v>0.7333333333333325</v>
      </c>
      <c r="D244" s="6">
        <f>D229</f>
        <v>-1</v>
      </c>
      <c r="E244" s="6"/>
      <c r="F244" s="6"/>
      <c r="G244" s="20"/>
      <c r="H244" s="20"/>
      <c r="I244" s="8"/>
      <c r="J244" s="6"/>
      <c r="K244" s="7"/>
    </row>
    <row r="245" spans="1:11" x14ac:dyDescent="0.25">
      <c r="A245" s="5"/>
      <c r="B245" s="6"/>
      <c r="C245" s="6"/>
      <c r="D245" s="6"/>
      <c r="E245" s="6"/>
      <c r="F245" s="6"/>
      <c r="G245" s="20"/>
      <c r="H245" s="20"/>
      <c r="I245" s="8"/>
      <c r="J245" s="6"/>
      <c r="K245" s="7"/>
    </row>
    <row r="246" spans="1:11" x14ac:dyDescent="0.25">
      <c r="A246" s="5"/>
      <c r="B246" s="6"/>
      <c r="C246" s="6"/>
      <c r="D246" s="6"/>
      <c r="E246" s="6"/>
      <c r="F246" s="6"/>
      <c r="G246" s="20"/>
      <c r="H246" s="20"/>
      <c r="I246" s="8"/>
      <c r="J246" s="6"/>
      <c r="K246" s="7"/>
    </row>
    <row r="247" spans="1:11" x14ac:dyDescent="0.25">
      <c r="A247" s="5" t="s">
        <v>10</v>
      </c>
      <c r="B247" s="6" t="s">
        <v>2</v>
      </c>
      <c r="C247" s="6" t="s">
        <v>3</v>
      </c>
      <c r="D247" s="6" t="s">
        <v>0</v>
      </c>
      <c r="E247" s="6" t="s">
        <v>15</v>
      </c>
      <c r="F247" s="6" t="s">
        <v>1</v>
      </c>
      <c r="G247" s="20" t="s">
        <v>17</v>
      </c>
      <c r="H247" s="20" t="s">
        <v>16</v>
      </c>
      <c r="I247" s="8" t="s">
        <v>7</v>
      </c>
      <c r="J247" s="6" t="s">
        <v>11</v>
      </c>
      <c r="K247" s="7" t="s">
        <v>12</v>
      </c>
    </row>
    <row r="248" spans="1:11" x14ac:dyDescent="0.25">
      <c r="A248" s="5">
        <v>1</v>
      </c>
      <c r="B248" s="6">
        <f>B233</f>
        <v>4</v>
      </c>
      <c r="C248" s="6">
        <f>C233</f>
        <v>3</v>
      </c>
      <c r="D248" s="8">
        <f>B248*B244+C248*C244+D244</f>
        <v>3.9199999999999964</v>
      </c>
      <c r="E248" s="6">
        <f>IF(D248&gt;=0,$F$1,$E$1)</f>
        <v>1</v>
      </c>
      <c r="F248" s="6">
        <f>$F$8</f>
        <v>1</v>
      </c>
      <c r="G248" s="20" t="str">
        <f>IF(E248&gt;0,"A","B")</f>
        <v>A</v>
      </c>
      <c r="H248" s="20" t="str">
        <f>IF(F248&gt;0,"A","B")</f>
        <v>A</v>
      </c>
      <c r="I248" s="8">
        <f t="shared" ref="I248:I253" si="171">F248-E248</f>
        <v>0</v>
      </c>
      <c r="J248" s="8">
        <f t="shared" ref="J248:J253" si="172">$C$1*I248*B248</f>
        <v>0</v>
      </c>
      <c r="K248" s="9">
        <f t="shared" ref="K248:K253" si="173">$C$1*I248*C248</f>
        <v>0</v>
      </c>
    </row>
    <row r="249" spans="1:11" x14ac:dyDescent="0.25">
      <c r="A249" s="5">
        <v>2</v>
      </c>
      <c r="B249" s="6">
        <f t="shared" ref="B249:C249" si="174">B234</f>
        <v>1</v>
      </c>
      <c r="C249" s="6">
        <f t="shared" si="174"/>
        <v>1</v>
      </c>
      <c r="D249" s="8">
        <f>B249*B244+C249*C244+D244</f>
        <v>0.41333333333333222</v>
      </c>
      <c r="E249" s="6">
        <f t="shared" ref="E249:E253" si="175">IF(D249&gt;=0,$F$1,$E$1)</f>
        <v>1</v>
      </c>
      <c r="F249" s="6">
        <f>$F$9</f>
        <v>-1</v>
      </c>
      <c r="G249" s="20" t="str">
        <f t="shared" ref="G249:G253" si="176">IF(E249&gt;0,"A","B")</f>
        <v>A</v>
      </c>
      <c r="H249" s="20" t="str">
        <f t="shared" ref="H249:H253" si="177">IF(F249&gt;0,"A","B")</f>
        <v>B</v>
      </c>
      <c r="I249" s="8">
        <f t="shared" si="171"/>
        <v>-2</v>
      </c>
      <c r="J249" s="8">
        <f t="shared" si="172"/>
        <v>-0.02</v>
      </c>
      <c r="K249" s="9">
        <f t="shared" si="173"/>
        <v>-0.02</v>
      </c>
    </row>
    <row r="250" spans="1:11" x14ac:dyDescent="0.25">
      <c r="A250" s="5">
        <v>3</v>
      </c>
      <c r="B250" s="6">
        <f t="shared" ref="B250:C250" si="178">B235</f>
        <v>2</v>
      </c>
      <c r="C250" s="6">
        <f t="shared" si="178"/>
        <v>2</v>
      </c>
      <c r="D250" s="8">
        <f>B250*B244+C250*C244+D244</f>
        <v>1.8266666666666644</v>
      </c>
      <c r="E250" s="6">
        <f t="shared" si="175"/>
        <v>1</v>
      </c>
      <c r="F250" s="6">
        <f>$F$10</f>
        <v>-1</v>
      </c>
      <c r="G250" s="20" t="str">
        <f t="shared" si="176"/>
        <v>A</v>
      </c>
      <c r="H250" s="20" t="str">
        <f t="shared" si="177"/>
        <v>B</v>
      </c>
      <c r="I250" s="8">
        <f t="shared" si="171"/>
        <v>-2</v>
      </c>
      <c r="J250" s="8">
        <f t="shared" si="172"/>
        <v>-0.04</v>
      </c>
      <c r="K250" s="9">
        <f t="shared" si="173"/>
        <v>-0.04</v>
      </c>
    </row>
    <row r="251" spans="1:11" x14ac:dyDescent="0.25">
      <c r="A251" s="5">
        <v>4</v>
      </c>
      <c r="B251" s="6">
        <f t="shared" ref="B251:C251" si="179">B236</f>
        <v>2</v>
      </c>
      <c r="C251" s="6">
        <f t="shared" si="179"/>
        <v>3</v>
      </c>
      <c r="D251" s="8">
        <f>B251*B244+C251*C244+D244</f>
        <v>2.5599999999999969</v>
      </c>
      <c r="E251" s="6">
        <f t="shared" si="175"/>
        <v>1</v>
      </c>
      <c r="F251" s="6">
        <f>$F$11</f>
        <v>1</v>
      </c>
      <c r="G251" s="20" t="str">
        <f t="shared" si="176"/>
        <v>A</v>
      </c>
      <c r="H251" s="20" t="str">
        <f t="shared" si="177"/>
        <v>A</v>
      </c>
      <c r="I251" s="8">
        <f t="shared" si="171"/>
        <v>0</v>
      </c>
      <c r="J251" s="8">
        <f t="shared" si="172"/>
        <v>0</v>
      </c>
      <c r="K251" s="9">
        <f t="shared" si="173"/>
        <v>0</v>
      </c>
    </row>
    <row r="252" spans="1:11" x14ac:dyDescent="0.25">
      <c r="A252" s="5">
        <v>5</v>
      </c>
      <c r="B252" s="6">
        <f t="shared" ref="B252:C252" si="180">B237</f>
        <v>5</v>
      </c>
      <c r="C252" s="6">
        <f t="shared" si="180"/>
        <v>3</v>
      </c>
      <c r="D252" s="8">
        <f>B252*B244+C252*C244+D244</f>
        <v>4.5999999999999961</v>
      </c>
      <c r="E252" s="6">
        <f t="shared" si="175"/>
        <v>1</v>
      </c>
      <c r="F252" s="6">
        <f>$F$12</f>
        <v>1</v>
      </c>
      <c r="G252" s="20" t="str">
        <f t="shared" si="176"/>
        <v>A</v>
      </c>
      <c r="H252" s="20" t="str">
        <f t="shared" si="177"/>
        <v>A</v>
      </c>
      <c r="I252" s="8">
        <f t="shared" si="171"/>
        <v>0</v>
      </c>
      <c r="J252" s="8">
        <f t="shared" si="172"/>
        <v>0</v>
      </c>
      <c r="K252" s="9">
        <f t="shared" si="173"/>
        <v>0</v>
      </c>
    </row>
    <row r="253" spans="1:11" x14ac:dyDescent="0.25">
      <c r="A253" s="5">
        <v>6</v>
      </c>
      <c r="B253" s="6">
        <f t="shared" ref="B253:C253" si="181">B238</f>
        <v>3</v>
      </c>
      <c r="C253" s="6">
        <f t="shared" si="181"/>
        <v>2</v>
      </c>
      <c r="D253" s="8">
        <f>B253*B244+C253*C244+D244</f>
        <v>2.5066666666666642</v>
      </c>
      <c r="E253" s="6">
        <f t="shared" si="175"/>
        <v>1</v>
      </c>
      <c r="F253" s="6">
        <f>$F$13</f>
        <v>-1</v>
      </c>
      <c r="G253" s="20" t="str">
        <f t="shared" si="176"/>
        <v>A</v>
      </c>
      <c r="H253" s="20" t="str">
        <f t="shared" si="177"/>
        <v>B</v>
      </c>
      <c r="I253" s="8">
        <f t="shared" si="171"/>
        <v>-2</v>
      </c>
      <c r="J253" s="8">
        <f t="shared" si="172"/>
        <v>-0.06</v>
      </c>
      <c r="K253" s="9">
        <f t="shared" si="173"/>
        <v>-0.04</v>
      </c>
    </row>
    <row r="254" spans="1:11" x14ac:dyDescent="0.25">
      <c r="A254" s="5"/>
      <c r="B254" s="6"/>
      <c r="C254" s="6"/>
      <c r="D254" s="6"/>
      <c r="E254" s="6"/>
      <c r="F254" s="6"/>
      <c r="G254" s="20" t="s">
        <v>8</v>
      </c>
      <c r="H254" s="20"/>
      <c r="I254" s="8">
        <f>SUM(I248:I253)</f>
        <v>-6</v>
      </c>
      <c r="J254" s="8">
        <f>AVERAGE(J248:J253)</f>
        <v>-0.02</v>
      </c>
      <c r="K254" s="9">
        <f>AVERAGE(K248:K253)</f>
        <v>-1.6666666666666666E-2</v>
      </c>
    </row>
    <row r="255" spans="1:11" x14ac:dyDescent="0.25">
      <c r="A255" s="5"/>
      <c r="B255" s="6"/>
      <c r="C255" s="6"/>
      <c r="D255" s="6"/>
      <c r="E255" s="6"/>
      <c r="F255" s="6"/>
      <c r="G255" s="20" t="s">
        <v>9</v>
      </c>
      <c r="H255" s="20"/>
      <c r="I255" s="8">
        <f>SUMSQ(I248:I253)</f>
        <v>12</v>
      </c>
      <c r="J255" s="10"/>
      <c r="K255" s="15"/>
    </row>
    <row r="256" spans="1:11" x14ac:dyDescent="0.25">
      <c r="A256" s="11"/>
      <c r="B256" s="12"/>
      <c r="C256" s="12"/>
      <c r="D256" s="12"/>
      <c r="E256" s="12"/>
      <c r="F256" s="12"/>
      <c r="G256" s="21"/>
      <c r="H256" s="21"/>
      <c r="I256" s="18"/>
      <c r="J256" s="13"/>
      <c r="K256" s="16"/>
    </row>
    <row r="257" spans="1:11" x14ac:dyDescent="0.25">
      <c r="A257" s="2" t="s">
        <v>13</v>
      </c>
      <c r="B257" s="3">
        <f>B242+1</f>
        <v>18</v>
      </c>
      <c r="C257" s="3"/>
      <c r="D257" s="3"/>
      <c r="E257" s="3"/>
      <c r="F257" s="3"/>
      <c r="G257" s="19"/>
      <c r="H257" s="19"/>
      <c r="I257" s="17"/>
      <c r="J257" s="3"/>
      <c r="K257" s="4"/>
    </row>
    <row r="258" spans="1:11" x14ac:dyDescent="0.25">
      <c r="A258" s="5"/>
      <c r="B258" s="6" t="s">
        <v>4</v>
      </c>
      <c r="C258" s="6" t="s">
        <v>5</v>
      </c>
      <c r="D258" s="6" t="s">
        <v>6</v>
      </c>
      <c r="E258" s="6"/>
      <c r="F258" s="6"/>
      <c r="G258" s="20"/>
      <c r="H258" s="20"/>
      <c r="I258" s="8"/>
      <c r="J258" s="6"/>
      <c r="K258" s="7"/>
    </row>
    <row r="259" spans="1:11" x14ac:dyDescent="0.25">
      <c r="A259" s="5">
        <v>1</v>
      </c>
      <c r="B259" s="14">
        <f>B244+J254</f>
        <v>0.6599999999999997</v>
      </c>
      <c r="C259" s="14">
        <f>C244+K254</f>
        <v>0.71666666666666579</v>
      </c>
      <c r="D259" s="6">
        <f>D244</f>
        <v>-1</v>
      </c>
      <c r="E259" s="6"/>
      <c r="F259" s="6"/>
      <c r="G259" s="20"/>
      <c r="H259" s="20"/>
      <c r="I259" s="8"/>
      <c r="J259" s="6"/>
      <c r="K259" s="7"/>
    </row>
    <row r="260" spans="1:11" x14ac:dyDescent="0.25">
      <c r="A260" s="5"/>
      <c r="B260" s="6"/>
      <c r="C260" s="6"/>
      <c r="D260" s="6"/>
      <c r="E260" s="6"/>
      <c r="F260" s="6"/>
      <c r="G260" s="20"/>
      <c r="H260" s="20"/>
      <c r="I260" s="8"/>
      <c r="J260" s="6"/>
      <c r="K260" s="7"/>
    </row>
    <row r="261" spans="1:11" x14ac:dyDescent="0.25">
      <c r="A261" s="5"/>
      <c r="B261" s="6"/>
      <c r="C261" s="6"/>
      <c r="D261" s="6"/>
      <c r="E261" s="6"/>
      <c r="F261" s="6"/>
      <c r="G261" s="20"/>
      <c r="H261" s="20"/>
      <c r="I261" s="8"/>
      <c r="J261" s="6"/>
      <c r="K261" s="7"/>
    </row>
    <row r="262" spans="1:11" x14ac:dyDescent="0.25">
      <c r="A262" s="5" t="s">
        <v>10</v>
      </c>
      <c r="B262" s="6" t="s">
        <v>2</v>
      </c>
      <c r="C262" s="6" t="s">
        <v>3</v>
      </c>
      <c r="D262" s="6" t="s">
        <v>0</v>
      </c>
      <c r="E262" s="6" t="s">
        <v>15</v>
      </c>
      <c r="F262" s="6" t="s">
        <v>1</v>
      </c>
      <c r="G262" s="20" t="s">
        <v>17</v>
      </c>
      <c r="H262" s="20" t="s">
        <v>16</v>
      </c>
      <c r="I262" s="8" t="s">
        <v>7</v>
      </c>
      <c r="J262" s="6" t="s">
        <v>11</v>
      </c>
      <c r="K262" s="7" t="s">
        <v>12</v>
      </c>
    </row>
    <row r="263" spans="1:11" x14ac:dyDescent="0.25">
      <c r="A263" s="5">
        <v>1</v>
      </c>
      <c r="B263" s="6">
        <f>B248</f>
        <v>4</v>
      </c>
      <c r="C263" s="6">
        <f>C248</f>
        <v>3</v>
      </c>
      <c r="D263" s="8">
        <f>B263*B259+C263*C259+D259</f>
        <v>3.7899999999999956</v>
      </c>
      <c r="E263" s="6">
        <f>IF(D263&gt;=0,$F$1,$E$1)</f>
        <v>1</v>
      </c>
      <c r="F263" s="6">
        <f>$F$8</f>
        <v>1</v>
      </c>
      <c r="G263" s="20" t="str">
        <f>IF(E263&gt;0,"A","B")</f>
        <v>A</v>
      </c>
      <c r="H263" s="20" t="str">
        <f>IF(F263&gt;0,"A","B")</f>
        <v>A</v>
      </c>
      <c r="I263" s="8">
        <f t="shared" ref="I263:I268" si="182">F263-E263</f>
        <v>0</v>
      </c>
      <c r="J263" s="8">
        <f t="shared" ref="J263:J268" si="183">$C$1*I263*B263</f>
        <v>0</v>
      </c>
      <c r="K263" s="9">
        <f t="shared" ref="K263:K268" si="184">$C$1*I263*C263</f>
        <v>0</v>
      </c>
    </row>
    <row r="264" spans="1:11" x14ac:dyDescent="0.25">
      <c r="A264" s="5">
        <v>2</v>
      </c>
      <c r="B264" s="6">
        <f t="shared" ref="B264:C264" si="185">B249</f>
        <v>1</v>
      </c>
      <c r="C264" s="6">
        <f t="shared" si="185"/>
        <v>1</v>
      </c>
      <c r="D264" s="8">
        <f>B264*B259+C264*C259+D259</f>
        <v>0.37666666666666559</v>
      </c>
      <c r="E264" s="6">
        <f t="shared" ref="E264:E268" si="186">IF(D264&gt;=0,$F$1,$E$1)</f>
        <v>1</v>
      </c>
      <c r="F264" s="6">
        <f>$F$9</f>
        <v>-1</v>
      </c>
      <c r="G264" s="20" t="str">
        <f t="shared" ref="G264:G268" si="187">IF(E264&gt;0,"A","B")</f>
        <v>A</v>
      </c>
      <c r="H264" s="20" t="str">
        <f t="shared" ref="H264:H268" si="188">IF(F264&gt;0,"A","B")</f>
        <v>B</v>
      </c>
      <c r="I264" s="8">
        <f t="shared" si="182"/>
        <v>-2</v>
      </c>
      <c r="J264" s="8">
        <f t="shared" si="183"/>
        <v>-0.02</v>
      </c>
      <c r="K264" s="9">
        <f t="shared" si="184"/>
        <v>-0.02</v>
      </c>
    </row>
    <row r="265" spans="1:11" x14ac:dyDescent="0.25">
      <c r="A265" s="5">
        <v>3</v>
      </c>
      <c r="B265" s="6">
        <f t="shared" ref="B265:C265" si="189">B250</f>
        <v>2</v>
      </c>
      <c r="C265" s="6">
        <f t="shared" si="189"/>
        <v>2</v>
      </c>
      <c r="D265" s="8">
        <f>B265*B259+C265*C259+D259</f>
        <v>1.7533333333333312</v>
      </c>
      <c r="E265" s="6">
        <f t="shared" si="186"/>
        <v>1</v>
      </c>
      <c r="F265" s="6">
        <f>$F$10</f>
        <v>-1</v>
      </c>
      <c r="G265" s="20" t="str">
        <f t="shared" si="187"/>
        <v>A</v>
      </c>
      <c r="H265" s="20" t="str">
        <f t="shared" si="188"/>
        <v>B</v>
      </c>
      <c r="I265" s="8">
        <f t="shared" si="182"/>
        <v>-2</v>
      </c>
      <c r="J265" s="8">
        <f t="shared" si="183"/>
        <v>-0.04</v>
      </c>
      <c r="K265" s="9">
        <f t="shared" si="184"/>
        <v>-0.04</v>
      </c>
    </row>
    <row r="266" spans="1:11" x14ac:dyDescent="0.25">
      <c r="A266" s="5">
        <v>4</v>
      </c>
      <c r="B266" s="6">
        <f t="shared" ref="B266:C266" si="190">B251</f>
        <v>2</v>
      </c>
      <c r="C266" s="6">
        <f t="shared" si="190"/>
        <v>3</v>
      </c>
      <c r="D266" s="8">
        <f>B266*B259+C266*C259+D259</f>
        <v>2.4699999999999966</v>
      </c>
      <c r="E266" s="6">
        <f t="shared" si="186"/>
        <v>1</v>
      </c>
      <c r="F266" s="6">
        <f>$F$11</f>
        <v>1</v>
      </c>
      <c r="G266" s="20" t="str">
        <f t="shared" si="187"/>
        <v>A</v>
      </c>
      <c r="H266" s="20" t="str">
        <f t="shared" si="188"/>
        <v>A</v>
      </c>
      <c r="I266" s="8">
        <f t="shared" si="182"/>
        <v>0</v>
      </c>
      <c r="J266" s="8">
        <f t="shared" si="183"/>
        <v>0</v>
      </c>
      <c r="K266" s="9">
        <f t="shared" si="184"/>
        <v>0</v>
      </c>
    </row>
    <row r="267" spans="1:11" x14ac:dyDescent="0.25">
      <c r="A267" s="5">
        <v>5</v>
      </c>
      <c r="B267" s="6">
        <f t="shared" ref="B267:C267" si="191">B252</f>
        <v>5</v>
      </c>
      <c r="C267" s="6">
        <f t="shared" si="191"/>
        <v>3</v>
      </c>
      <c r="D267" s="8">
        <f>B267*B259+C267*C259+D259</f>
        <v>4.4499999999999957</v>
      </c>
      <c r="E267" s="6">
        <f t="shared" si="186"/>
        <v>1</v>
      </c>
      <c r="F267" s="6">
        <f>$F$12</f>
        <v>1</v>
      </c>
      <c r="G267" s="20" t="str">
        <f t="shared" si="187"/>
        <v>A</v>
      </c>
      <c r="H267" s="20" t="str">
        <f t="shared" si="188"/>
        <v>A</v>
      </c>
      <c r="I267" s="8">
        <f t="shared" si="182"/>
        <v>0</v>
      </c>
      <c r="J267" s="8">
        <f t="shared" si="183"/>
        <v>0</v>
      </c>
      <c r="K267" s="9">
        <f t="shared" si="184"/>
        <v>0</v>
      </c>
    </row>
    <row r="268" spans="1:11" x14ac:dyDescent="0.25">
      <c r="A268" s="5">
        <v>6</v>
      </c>
      <c r="B268" s="6">
        <f t="shared" ref="B268:C268" si="192">B253</f>
        <v>3</v>
      </c>
      <c r="C268" s="6">
        <f t="shared" si="192"/>
        <v>2</v>
      </c>
      <c r="D268" s="8">
        <f>B268*B259+C268*C259+D259</f>
        <v>2.4133333333333304</v>
      </c>
      <c r="E268" s="6">
        <f t="shared" si="186"/>
        <v>1</v>
      </c>
      <c r="F268" s="6">
        <f>$F$13</f>
        <v>-1</v>
      </c>
      <c r="G268" s="20" t="str">
        <f t="shared" si="187"/>
        <v>A</v>
      </c>
      <c r="H268" s="20" t="str">
        <f t="shared" si="188"/>
        <v>B</v>
      </c>
      <c r="I268" s="8">
        <f t="shared" si="182"/>
        <v>-2</v>
      </c>
      <c r="J268" s="8">
        <f t="shared" si="183"/>
        <v>-0.06</v>
      </c>
      <c r="K268" s="9">
        <f t="shared" si="184"/>
        <v>-0.04</v>
      </c>
    </row>
    <row r="269" spans="1:11" x14ac:dyDescent="0.25">
      <c r="A269" s="5"/>
      <c r="B269" s="6"/>
      <c r="C269" s="6"/>
      <c r="D269" s="6"/>
      <c r="E269" s="6"/>
      <c r="F269" s="6"/>
      <c r="G269" s="20" t="s">
        <v>8</v>
      </c>
      <c r="H269" s="20"/>
      <c r="I269" s="8">
        <f>SUM(I263:I268)</f>
        <v>-6</v>
      </c>
      <c r="J269" s="8">
        <f>AVERAGE(J263:J268)</f>
        <v>-0.02</v>
      </c>
      <c r="K269" s="9">
        <f>AVERAGE(K263:K268)</f>
        <v>-1.6666666666666666E-2</v>
      </c>
    </row>
    <row r="270" spans="1:11" x14ac:dyDescent="0.25">
      <c r="A270" s="5"/>
      <c r="B270" s="6"/>
      <c r="C270" s="6"/>
      <c r="D270" s="6"/>
      <c r="E270" s="6"/>
      <c r="F270" s="6"/>
      <c r="G270" s="20" t="s">
        <v>9</v>
      </c>
      <c r="H270" s="20"/>
      <c r="I270" s="8">
        <f>SUMSQ(I263:I268)</f>
        <v>12</v>
      </c>
      <c r="J270" s="10"/>
      <c r="K270" s="15"/>
    </row>
    <row r="271" spans="1:11" x14ac:dyDescent="0.25">
      <c r="A271" s="11"/>
      <c r="B271" s="12"/>
      <c r="C271" s="12"/>
      <c r="D271" s="12"/>
      <c r="E271" s="12"/>
      <c r="F271" s="12"/>
      <c r="G271" s="21"/>
      <c r="H271" s="21"/>
      <c r="I271" s="18"/>
      <c r="J271" s="13"/>
      <c r="K271" s="16"/>
    </row>
    <row r="272" spans="1:11" x14ac:dyDescent="0.25">
      <c r="A272" s="2" t="s">
        <v>13</v>
      </c>
      <c r="B272" s="3">
        <f>B257+1</f>
        <v>19</v>
      </c>
      <c r="C272" s="3"/>
      <c r="D272" s="3"/>
      <c r="E272" s="3"/>
      <c r="F272" s="3"/>
      <c r="G272" s="19"/>
      <c r="H272" s="19"/>
      <c r="I272" s="17"/>
      <c r="J272" s="3"/>
      <c r="K272" s="4"/>
    </row>
    <row r="273" spans="1:11" x14ac:dyDescent="0.25">
      <c r="A273" s="5"/>
      <c r="B273" s="6" t="s">
        <v>4</v>
      </c>
      <c r="C273" s="6" t="s">
        <v>5</v>
      </c>
      <c r="D273" s="6" t="s">
        <v>6</v>
      </c>
      <c r="E273" s="6"/>
      <c r="F273" s="6"/>
      <c r="G273" s="20"/>
      <c r="H273" s="20"/>
      <c r="I273" s="8"/>
      <c r="J273" s="6"/>
      <c r="K273" s="7"/>
    </row>
    <row r="274" spans="1:11" x14ac:dyDescent="0.25">
      <c r="A274" s="5">
        <v>1</v>
      </c>
      <c r="B274" s="14">
        <f>B259+J269</f>
        <v>0.63999999999999968</v>
      </c>
      <c r="C274" s="14">
        <f>C259+K269</f>
        <v>0.69999999999999907</v>
      </c>
      <c r="D274" s="6">
        <f>D259</f>
        <v>-1</v>
      </c>
      <c r="E274" s="6"/>
      <c r="F274" s="6"/>
      <c r="G274" s="20"/>
      <c r="H274" s="20"/>
      <c r="I274" s="8"/>
      <c r="J274" s="6"/>
      <c r="K274" s="7"/>
    </row>
    <row r="275" spans="1:11" x14ac:dyDescent="0.25">
      <c r="A275" s="5"/>
      <c r="B275" s="6"/>
      <c r="C275" s="6"/>
      <c r="D275" s="6"/>
      <c r="E275" s="6"/>
      <c r="F275" s="6"/>
      <c r="G275" s="20"/>
      <c r="H275" s="20"/>
      <c r="I275" s="8"/>
      <c r="J275" s="6"/>
      <c r="K275" s="7"/>
    </row>
    <row r="276" spans="1:11" x14ac:dyDescent="0.25">
      <c r="A276" s="5"/>
      <c r="B276" s="6"/>
      <c r="C276" s="6"/>
      <c r="D276" s="6"/>
      <c r="E276" s="6"/>
      <c r="F276" s="6"/>
      <c r="G276" s="20"/>
      <c r="H276" s="20"/>
      <c r="I276" s="8"/>
      <c r="J276" s="6"/>
      <c r="K276" s="7"/>
    </row>
    <row r="277" spans="1:11" x14ac:dyDescent="0.25">
      <c r="A277" s="5" t="s">
        <v>10</v>
      </c>
      <c r="B277" s="6" t="s">
        <v>2</v>
      </c>
      <c r="C277" s="6" t="s">
        <v>3</v>
      </c>
      <c r="D277" s="6" t="s">
        <v>0</v>
      </c>
      <c r="E277" s="6" t="s">
        <v>15</v>
      </c>
      <c r="F277" s="6" t="s">
        <v>1</v>
      </c>
      <c r="G277" s="20" t="s">
        <v>17</v>
      </c>
      <c r="H277" s="20" t="s">
        <v>16</v>
      </c>
      <c r="I277" s="8" t="s">
        <v>7</v>
      </c>
      <c r="J277" s="6" t="s">
        <v>11</v>
      </c>
      <c r="K277" s="7" t="s">
        <v>12</v>
      </c>
    </row>
    <row r="278" spans="1:11" x14ac:dyDescent="0.25">
      <c r="A278" s="5">
        <v>1</v>
      </c>
      <c r="B278" s="6">
        <f>B263</f>
        <v>4</v>
      </c>
      <c r="C278" s="6">
        <f>C263</f>
        <v>3</v>
      </c>
      <c r="D278" s="8">
        <f>B278*B274+C278*C274+D274</f>
        <v>3.6599999999999957</v>
      </c>
      <c r="E278" s="6">
        <f>IF(D278&gt;=0,$F$1,$E$1)</f>
        <v>1</v>
      </c>
      <c r="F278" s="6">
        <f>$F$8</f>
        <v>1</v>
      </c>
      <c r="G278" s="20" t="str">
        <f>IF(E278&gt;0,"A","B")</f>
        <v>A</v>
      </c>
      <c r="H278" s="20" t="str">
        <f>IF(F278&gt;0,"A","B")</f>
        <v>A</v>
      </c>
      <c r="I278" s="8">
        <f t="shared" ref="I278:I283" si="193">F278-E278</f>
        <v>0</v>
      </c>
      <c r="J278" s="8">
        <f t="shared" ref="J278:J283" si="194">$C$1*I278*B278</f>
        <v>0</v>
      </c>
      <c r="K278" s="9">
        <f t="shared" ref="K278:K283" si="195">$C$1*I278*C278</f>
        <v>0</v>
      </c>
    </row>
    <row r="279" spans="1:11" x14ac:dyDescent="0.25">
      <c r="A279" s="5">
        <v>2</v>
      </c>
      <c r="B279" s="6">
        <f t="shared" ref="B279:C279" si="196">B264</f>
        <v>1</v>
      </c>
      <c r="C279" s="6">
        <f t="shared" si="196"/>
        <v>1</v>
      </c>
      <c r="D279" s="8">
        <f>B279*B274+C279*C274+D274</f>
        <v>0.33999999999999875</v>
      </c>
      <c r="E279" s="6">
        <f t="shared" ref="E279:E283" si="197">IF(D279&gt;=0,$F$1,$E$1)</f>
        <v>1</v>
      </c>
      <c r="F279" s="6">
        <f>$F$9</f>
        <v>-1</v>
      </c>
      <c r="G279" s="20" t="str">
        <f t="shared" ref="G279:G283" si="198">IF(E279&gt;0,"A","B")</f>
        <v>A</v>
      </c>
      <c r="H279" s="20" t="str">
        <f t="shared" ref="H279:H283" si="199">IF(F279&gt;0,"A","B")</f>
        <v>B</v>
      </c>
      <c r="I279" s="8">
        <f t="shared" si="193"/>
        <v>-2</v>
      </c>
      <c r="J279" s="8">
        <f t="shared" si="194"/>
        <v>-0.02</v>
      </c>
      <c r="K279" s="9">
        <f t="shared" si="195"/>
        <v>-0.02</v>
      </c>
    </row>
    <row r="280" spans="1:11" x14ac:dyDescent="0.25">
      <c r="A280" s="5">
        <v>3</v>
      </c>
      <c r="B280" s="6">
        <f t="shared" ref="B280:C280" si="200">B265</f>
        <v>2</v>
      </c>
      <c r="C280" s="6">
        <f t="shared" si="200"/>
        <v>2</v>
      </c>
      <c r="D280" s="8">
        <f>B280*B274+C280*C274+D274</f>
        <v>1.6799999999999975</v>
      </c>
      <c r="E280" s="6">
        <f t="shared" si="197"/>
        <v>1</v>
      </c>
      <c r="F280" s="6">
        <f>$F$10</f>
        <v>-1</v>
      </c>
      <c r="G280" s="20" t="str">
        <f t="shared" si="198"/>
        <v>A</v>
      </c>
      <c r="H280" s="20" t="str">
        <f t="shared" si="199"/>
        <v>B</v>
      </c>
      <c r="I280" s="8">
        <f t="shared" si="193"/>
        <v>-2</v>
      </c>
      <c r="J280" s="8">
        <f t="shared" si="194"/>
        <v>-0.04</v>
      </c>
      <c r="K280" s="9">
        <f t="shared" si="195"/>
        <v>-0.04</v>
      </c>
    </row>
    <row r="281" spans="1:11" x14ac:dyDescent="0.25">
      <c r="A281" s="5">
        <v>4</v>
      </c>
      <c r="B281" s="6">
        <f t="shared" ref="B281:C281" si="201">B266</f>
        <v>2</v>
      </c>
      <c r="C281" s="6">
        <f t="shared" si="201"/>
        <v>3</v>
      </c>
      <c r="D281" s="8">
        <f>B281*B274+C281*C274+D274</f>
        <v>2.3799999999999963</v>
      </c>
      <c r="E281" s="6">
        <f t="shared" si="197"/>
        <v>1</v>
      </c>
      <c r="F281" s="6">
        <f>$F$11</f>
        <v>1</v>
      </c>
      <c r="G281" s="20" t="str">
        <f t="shared" si="198"/>
        <v>A</v>
      </c>
      <c r="H281" s="20" t="str">
        <f t="shared" si="199"/>
        <v>A</v>
      </c>
      <c r="I281" s="8">
        <f t="shared" si="193"/>
        <v>0</v>
      </c>
      <c r="J281" s="8">
        <f t="shared" si="194"/>
        <v>0</v>
      </c>
      <c r="K281" s="9">
        <f t="shared" si="195"/>
        <v>0</v>
      </c>
    </row>
    <row r="282" spans="1:11" x14ac:dyDescent="0.25">
      <c r="A282" s="5">
        <v>5</v>
      </c>
      <c r="B282" s="6">
        <f t="shared" ref="B282:C282" si="202">B267</f>
        <v>5</v>
      </c>
      <c r="C282" s="6">
        <f t="shared" si="202"/>
        <v>3</v>
      </c>
      <c r="D282" s="8">
        <f>B282*B274+C282*C274+D274</f>
        <v>4.2999999999999954</v>
      </c>
      <c r="E282" s="6">
        <f t="shared" si="197"/>
        <v>1</v>
      </c>
      <c r="F282" s="6">
        <f>$F$12</f>
        <v>1</v>
      </c>
      <c r="G282" s="20" t="str">
        <f t="shared" si="198"/>
        <v>A</v>
      </c>
      <c r="H282" s="20" t="str">
        <f t="shared" si="199"/>
        <v>A</v>
      </c>
      <c r="I282" s="8">
        <f t="shared" si="193"/>
        <v>0</v>
      </c>
      <c r="J282" s="8">
        <f t="shared" si="194"/>
        <v>0</v>
      </c>
      <c r="K282" s="9">
        <f t="shared" si="195"/>
        <v>0</v>
      </c>
    </row>
    <row r="283" spans="1:11" x14ac:dyDescent="0.25">
      <c r="A283" s="5">
        <v>6</v>
      </c>
      <c r="B283" s="6">
        <f t="shared" ref="B283:C283" si="203">B268</f>
        <v>3</v>
      </c>
      <c r="C283" s="6">
        <f t="shared" si="203"/>
        <v>2</v>
      </c>
      <c r="D283" s="8">
        <f>B283*B274+C283*C274+D274</f>
        <v>2.3199999999999972</v>
      </c>
      <c r="E283" s="6">
        <f t="shared" si="197"/>
        <v>1</v>
      </c>
      <c r="F283" s="6">
        <f>$F$13</f>
        <v>-1</v>
      </c>
      <c r="G283" s="20" t="str">
        <f t="shared" si="198"/>
        <v>A</v>
      </c>
      <c r="H283" s="20" t="str">
        <f t="shared" si="199"/>
        <v>B</v>
      </c>
      <c r="I283" s="8">
        <f t="shared" si="193"/>
        <v>-2</v>
      </c>
      <c r="J283" s="8">
        <f t="shared" si="194"/>
        <v>-0.06</v>
      </c>
      <c r="K283" s="9">
        <f t="shared" si="195"/>
        <v>-0.04</v>
      </c>
    </row>
    <row r="284" spans="1:11" x14ac:dyDescent="0.25">
      <c r="A284" s="5"/>
      <c r="B284" s="6"/>
      <c r="C284" s="6"/>
      <c r="D284" s="6"/>
      <c r="E284" s="6"/>
      <c r="F284" s="6"/>
      <c r="G284" s="20" t="s">
        <v>8</v>
      </c>
      <c r="H284" s="20"/>
      <c r="I284" s="8">
        <f>SUM(I278:I283)</f>
        <v>-6</v>
      </c>
      <c r="J284" s="8">
        <f>AVERAGE(J278:J283)</f>
        <v>-0.02</v>
      </c>
      <c r="K284" s="9">
        <f>AVERAGE(K278:K283)</f>
        <v>-1.6666666666666666E-2</v>
      </c>
    </row>
    <row r="285" spans="1:11" x14ac:dyDescent="0.25">
      <c r="A285" s="5"/>
      <c r="B285" s="6"/>
      <c r="C285" s="6"/>
      <c r="D285" s="6"/>
      <c r="E285" s="6"/>
      <c r="F285" s="6"/>
      <c r="G285" s="20" t="s">
        <v>9</v>
      </c>
      <c r="H285" s="20"/>
      <c r="I285" s="8">
        <f>SUMSQ(I278:I283)</f>
        <v>12</v>
      </c>
      <c r="J285" s="10"/>
      <c r="K285" s="15"/>
    </row>
    <row r="286" spans="1:11" x14ac:dyDescent="0.25">
      <c r="A286" s="11"/>
      <c r="B286" s="12"/>
      <c r="C286" s="12"/>
      <c r="D286" s="12"/>
      <c r="E286" s="12"/>
      <c r="F286" s="12"/>
      <c r="G286" s="21"/>
      <c r="H286" s="21"/>
      <c r="I286" s="18"/>
      <c r="J286" s="13"/>
      <c r="K286" s="16"/>
    </row>
    <row r="287" spans="1:11" x14ac:dyDescent="0.25">
      <c r="A287" s="2" t="s">
        <v>13</v>
      </c>
      <c r="B287" s="3">
        <f>B272+1</f>
        <v>20</v>
      </c>
      <c r="C287" s="3"/>
      <c r="D287" s="3"/>
      <c r="E287" s="3"/>
      <c r="F287" s="3"/>
      <c r="G287" s="19"/>
      <c r="H287" s="19"/>
      <c r="I287" s="17"/>
      <c r="J287" s="3"/>
      <c r="K287" s="4"/>
    </row>
    <row r="288" spans="1:11" x14ac:dyDescent="0.25">
      <c r="A288" s="5"/>
      <c r="B288" s="6" t="s">
        <v>4</v>
      </c>
      <c r="C288" s="6" t="s">
        <v>5</v>
      </c>
      <c r="D288" s="6" t="s">
        <v>6</v>
      </c>
      <c r="E288" s="6"/>
      <c r="F288" s="6"/>
      <c r="G288" s="20"/>
      <c r="H288" s="20"/>
      <c r="I288" s="8"/>
      <c r="J288" s="6"/>
      <c r="K288" s="7"/>
    </row>
    <row r="289" spans="1:11" x14ac:dyDescent="0.25">
      <c r="A289" s="5">
        <v>1</v>
      </c>
      <c r="B289" s="14">
        <f>B274+J284</f>
        <v>0.61999999999999966</v>
      </c>
      <c r="C289" s="14">
        <f>C274+K284</f>
        <v>0.68333333333333235</v>
      </c>
      <c r="D289" s="6">
        <f>D274</f>
        <v>-1</v>
      </c>
      <c r="E289" s="6"/>
      <c r="F289" s="6"/>
      <c r="G289" s="20"/>
      <c r="H289" s="20"/>
      <c r="I289" s="8"/>
      <c r="J289" s="6"/>
      <c r="K289" s="7"/>
    </row>
    <row r="290" spans="1:11" x14ac:dyDescent="0.25">
      <c r="A290" s="5"/>
      <c r="B290" s="6"/>
      <c r="C290" s="6"/>
      <c r="D290" s="6"/>
      <c r="E290" s="6"/>
      <c r="F290" s="6"/>
      <c r="G290" s="20"/>
      <c r="H290" s="20"/>
      <c r="I290" s="8"/>
      <c r="J290" s="6"/>
      <c r="K290" s="7"/>
    </row>
    <row r="291" spans="1:11" x14ac:dyDescent="0.25">
      <c r="A291" s="5"/>
      <c r="B291" s="6"/>
      <c r="C291" s="6"/>
      <c r="D291" s="6"/>
      <c r="E291" s="6"/>
      <c r="F291" s="6"/>
      <c r="G291" s="20"/>
      <c r="H291" s="20"/>
      <c r="I291" s="8"/>
      <c r="J291" s="6"/>
      <c r="K291" s="7"/>
    </row>
    <row r="292" spans="1:11" x14ac:dyDescent="0.25">
      <c r="A292" s="5" t="s">
        <v>10</v>
      </c>
      <c r="B292" s="6" t="s">
        <v>2</v>
      </c>
      <c r="C292" s="6" t="s">
        <v>3</v>
      </c>
      <c r="D292" s="6" t="s">
        <v>0</v>
      </c>
      <c r="E292" s="6" t="s">
        <v>15</v>
      </c>
      <c r="F292" s="6" t="s">
        <v>1</v>
      </c>
      <c r="G292" s="20" t="s">
        <v>17</v>
      </c>
      <c r="H292" s="20" t="s">
        <v>16</v>
      </c>
      <c r="I292" s="8" t="s">
        <v>7</v>
      </c>
      <c r="J292" s="6" t="s">
        <v>11</v>
      </c>
      <c r="K292" s="7" t="s">
        <v>12</v>
      </c>
    </row>
    <row r="293" spans="1:11" x14ac:dyDescent="0.25">
      <c r="A293" s="5">
        <v>1</v>
      </c>
      <c r="B293" s="6">
        <f>B278</f>
        <v>4</v>
      </c>
      <c r="C293" s="6">
        <f>C278</f>
        <v>3</v>
      </c>
      <c r="D293" s="8">
        <f>B293*B289+C293*C289+D289</f>
        <v>3.5299999999999958</v>
      </c>
      <c r="E293" s="6">
        <f>IF(D293&gt;=0,$F$1,$E$1)</f>
        <v>1</v>
      </c>
      <c r="F293" s="6">
        <f>$F$8</f>
        <v>1</v>
      </c>
      <c r="G293" s="20" t="str">
        <f>IF(E293&gt;0,"A","B")</f>
        <v>A</v>
      </c>
      <c r="H293" s="20" t="str">
        <f>IF(F293&gt;0,"A","B")</f>
        <v>A</v>
      </c>
      <c r="I293" s="8">
        <f t="shared" ref="I293:I298" si="204">F293-E293</f>
        <v>0</v>
      </c>
      <c r="J293" s="8">
        <f t="shared" ref="J293:J298" si="205">$C$1*I293*B293</f>
        <v>0</v>
      </c>
      <c r="K293" s="9">
        <f t="shared" ref="K293:K298" si="206">$C$1*I293*C293</f>
        <v>0</v>
      </c>
    </row>
    <row r="294" spans="1:11" x14ac:dyDescent="0.25">
      <c r="A294" s="5">
        <v>2</v>
      </c>
      <c r="B294" s="6">
        <f t="shared" ref="B294:C294" si="207">B279</f>
        <v>1</v>
      </c>
      <c r="C294" s="6">
        <f t="shared" si="207"/>
        <v>1</v>
      </c>
      <c r="D294" s="8">
        <f>B294*B289+C294*C289+D289</f>
        <v>0.3033333333333319</v>
      </c>
      <c r="E294" s="6">
        <f t="shared" ref="E294:E298" si="208">IF(D294&gt;=0,$F$1,$E$1)</f>
        <v>1</v>
      </c>
      <c r="F294" s="6">
        <f>$F$9</f>
        <v>-1</v>
      </c>
      <c r="G294" s="20" t="str">
        <f t="shared" ref="G294:G298" si="209">IF(E294&gt;0,"A","B")</f>
        <v>A</v>
      </c>
      <c r="H294" s="20" t="str">
        <f t="shared" ref="H294:H298" si="210">IF(F294&gt;0,"A","B")</f>
        <v>B</v>
      </c>
      <c r="I294" s="8">
        <f t="shared" si="204"/>
        <v>-2</v>
      </c>
      <c r="J294" s="8">
        <f t="shared" si="205"/>
        <v>-0.02</v>
      </c>
      <c r="K294" s="9">
        <f t="shared" si="206"/>
        <v>-0.02</v>
      </c>
    </row>
    <row r="295" spans="1:11" x14ac:dyDescent="0.25">
      <c r="A295" s="5">
        <v>3</v>
      </c>
      <c r="B295" s="6">
        <f t="shared" ref="B295:C295" si="211">B280</f>
        <v>2</v>
      </c>
      <c r="C295" s="6">
        <f t="shared" si="211"/>
        <v>2</v>
      </c>
      <c r="D295" s="8">
        <f>B295*B289+C295*C289+D289</f>
        <v>1.6066666666666638</v>
      </c>
      <c r="E295" s="6">
        <f t="shared" si="208"/>
        <v>1</v>
      </c>
      <c r="F295" s="6">
        <f>$F$10</f>
        <v>-1</v>
      </c>
      <c r="G295" s="20" t="str">
        <f t="shared" si="209"/>
        <v>A</v>
      </c>
      <c r="H295" s="20" t="str">
        <f t="shared" si="210"/>
        <v>B</v>
      </c>
      <c r="I295" s="8">
        <f t="shared" si="204"/>
        <v>-2</v>
      </c>
      <c r="J295" s="8">
        <f t="shared" si="205"/>
        <v>-0.04</v>
      </c>
      <c r="K295" s="9">
        <f t="shared" si="206"/>
        <v>-0.04</v>
      </c>
    </row>
    <row r="296" spans="1:11" x14ac:dyDescent="0.25">
      <c r="A296" s="5">
        <v>4</v>
      </c>
      <c r="B296" s="6">
        <f t="shared" ref="B296:C296" si="212">B281</f>
        <v>2</v>
      </c>
      <c r="C296" s="6">
        <f t="shared" si="212"/>
        <v>3</v>
      </c>
      <c r="D296" s="8">
        <f>B296*B289+C296*C289+D289</f>
        <v>2.2899999999999965</v>
      </c>
      <c r="E296" s="6">
        <f t="shared" si="208"/>
        <v>1</v>
      </c>
      <c r="F296" s="6">
        <f>$F$11</f>
        <v>1</v>
      </c>
      <c r="G296" s="20" t="str">
        <f t="shared" si="209"/>
        <v>A</v>
      </c>
      <c r="H296" s="20" t="str">
        <f t="shared" si="210"/>
        <v>A</v>
      </c>
      <c r="I296" s="8">
        <f t="shared" si="204"/>
        <v>0</v>
      </c>
      <c r="J296" s="8">
        <f t="shared" si="205"/>
        <v>0</v>
      </c>
      <c r="K296" s="9">
        <f t="shared" si="206"/>
        <v>0</v>
      </c>
    </row>
    <row r="297" spans="1:11" x14ac:dyDescent="0.25">
      <c r="A297" s="5">
        <v>5</v>
      </c>
      <c r="B297" s="6">
        <f t="shared" ref="B297:C297" si="213">B282</f>
        <v>5</v>
      </c>
      <c r="C297" s="6">
        <f t="shared" si="213"/>
        <v>3</v>
      </c>
      <c r="D297" s="8">
        <f>B297*B289+C297*C289+D289</f>
        <v>4.149999999999995</v>
      </c>
      <c r="E297" s="6">
        <f t="shared" si="208"/>
        <v>1</v>
      </c>
      <c r="F297" s="6">
        <f>$F$12</f>
        <v>1</v>
      </c>
      <c r="G297" s="20" t="str">
        <f t="shared" si="209"/>
        <v>A</v>
      </c>
      <c r="H297" s="20" t="str">
        <f t="shared" si="210"/>
        <v>A</v>
      </c>
      <c r="I297" s="8">
        <f t="shared" si="204"/>
        <v>0</v>
      </c>
      <c r="J297" s="8">
        <f t="shared" si="205"/>
        <v>0</v>
      </c>
      <c r="K297" s="9">
        <f t="shared" si="206"/>
        <v>0</v>
      </c>
    </row>
    <row r="298" spans="1:11" x14ac:dyDescent="0.25">
      <c r="A298" s="5">
        <v>6</v>
      </c>
      <c r="B298" s="6">
        <f t="shared" ref="B298:C298" si="214">B283</f>
        <v>3</v>
      </c>
      <c r="C298" s="6">
        <f t="shared" si="214"/>
        <v>2</v>
      </c>
      <c r="D298" s="8">
        <f>B298*B289+C298*C289+D289</f>
        <v>2.2266666666666639</v>
      </c>
      <c r="E298" s="6">
        <f t="shared" si="208"/>
        <v>1</v>
      </c>
      <c r="F298" s="6">
        <f>$F$13</f>
        <v>-1</v>
      </c>
      <c r="G298" s="20" t="str">
        <f t="shared" si="209"/>
        <v>A</v>
      </c>
      <c r="H298" s="20" t="str">
        <f t="shared" si="210"/>
        <v>B</v>
      </c>
      <c r="I298" s="8">
        <f t="shared" si="204"/>
        <v>-2</v>
      </c>
      <c r="J298" s="8">
        <f t="shared" si="205"/>
        <v>-0.06</v>
      </c>
      <c r="K298" s="9">
        <f t="shared" si="206"/>
        <v>-0.04</v>
      </c>
    </row>
    <row r="299" spans="1:11" x14ac:dyDescent="0.25">
      <c r="A299" s="5"/>
      <c r="B299" s="6"/>
      <c r="C299" s="6"/>
      <c r="D299" s="6"/>
      <c r="E299" s="6"/>
      <c r="F299" s="6"/>
      <c r="G299" s="20" t="s">
        <v>8</v>
      </c>
      <c r="H299" s="20"/>
      <c r="I299" s="8">
        <f>SUM(I293:I298)</f>
        <v>-6</v>
      </c>
      <c r="J299" s="8">
        <f>AVERAGE(J293:J298)</f>
        <v>-0.02</v>
      </c>
      <c r="K299" s="9">
        <f>AVERAGE(K293:K298)</f>
        <v>-1.6666666666666666E-2</v>
      </c>
    </row>
    <row r="300" spans="1:11" x14ac:dyDescent="0.25">
      <c r="A300" s="5"/>
      <c r="B300" s="6"/>
      <c r="C300" s="6"/>
      <c r="D300" s="6"/>
      <c r="E300" s="6"/>
      <c r="F300" s="6"/>
      <c r="G300" s="20" t="s">
        <v>9</v>
      </c>
      <c r="H300" s="20"/>
      <c r="I300" s="8">
        <f>SUMSQ(I293:I298)</f>
        <v>12</v>
      </c>
      <c r="J300" s="10"/>
      <c r="K300" s="15"/>
    </row>
    <row r="301" spans="1:11" x14ac:dyDescent="0.25">
      <c r="A301" s="11"/>
      <c r="B301" s="12"/>
      <c r="C301" s="12"/>
      <c r="D301" s="12"/>
      <c r="E301" s="12"/>
      <c r="F301" s="12"/>
      <c r="G301" s="21"/>
      <c r="H301" s="21"/>
      <c r="I301" s="18"/>
      <c r="J301" s="13"/>
      <c r="K301" s="16"/>
    </row>
    <row r="302" spans="1:11" x14ac:dyDescent="0.25">
      <c r="A302" s="2" t="s">
        <v>13</v>
      </c>
      <c r="B302" s="3">
        <f>B287+1</f>
        <v>21</v>
      </c>
      <c r="C302" s="3"/>
      <c r="D302" s="3"/>
      <c r="E302" s="3"/>
      <c r="F302" s="3"/>
      <c r="G302" s="19"/>
      <c r="H302" s="19"/>
      <c r="I302" s="17"/>
      <c r="J302" s="3"/>
      <c r="K302" s="4"/>
    </row>
    <row r="303" spans="1:11" x14ac:dyDescent="0.25">
      <c r="A303" s="5"/>
      <c r="B303" s="6" t="s">
        <v>4</v>
      </c>
      <c r="C303" s="6" t="s">
        <v>5</v>
      </c>
      <c r="D303" s="6" t="s">
        <v>6</v>
      </c>
      <c r="E303" s="6"/>
      <c r="F303" s="6"/>
      <c r="G303" s="20"/>
      <c r="H303" s="20"/>
      <c r="I303" s="8"/>
      <c r="J303" s="6"/>
      <c r="K303" s="7"/>
    </row>
    <row r="304" spans="1:11" x14ac:dyDescent="0.25">
      <c r="A304" s="5">
        <v>1</v>
      </c>
      <c r="B304" s="14">
        <f>B289+J299</f>
        <v>0.59999999999999964</v>
      </c>
      <c r="C304" s="14">
        <f>C289+K299</f>
        <v>0.66666666666666563</v>
      </c>
      <c r="D304" s="6">
        <f>D289</f>
        <v>-1</v>
      </c>
      <c r="E304" s="6"/>
      <c r="F304" s="6"/>
      <c r="G304" s="20"/>
      <c r="H304" s="20"/>
      <c r="I304" s="8"/>
      <c r="J304" s="6"/>
      <c r="K304" s="7"/>
    </row>
    <row r="305" spans="1:11" x14ac:dyDescent="0.25">
      <c r="A305" s="5"/>
      <c r="B305" s="6"/>
      <c r="C305" s="6"/>
      <c r="D305" s="6"/>
      <c r="E305" s="6"/>
      <c r="F305" s="6"/>
      <c r="G305" s="20"/>
      <c r="H305" s="20"/>
      <c r="I305" s="8"/>
      <c r="J305" s="6"/>
      <c r="K305" s="7"/>
    </row>
    <row r="306" spans="1:11" x14ac:dyDescent="0.25">
      <c r="A306" s="5"/>
      <c r="B306" s="6"/>
      <c r="C306" s="6"/>
      <c r="D306" s="6"/>
      <c r="E306" s="6"/>
      <c r="F306" s="6"/>
      <c r="G306" s="20"/>
      <c r="H306" s="20"/>
      <c r="I306" s="8"/>
      <c r="J306" s="6"/>
      <c r="K306" s="7"/>
    </row>
    <row r="307" spans="1:11" x14ac:dyDescent="0.25">
      <c r="A307" s="5" t="s">
        <v>10</v>
      </c>
      <c r="B307" s="6" t="s">
        <v>2</v>
      </c>
      <c r="C307" s="6" t="s">
        <v>3</v>
      </c>
      <c r="D307" s="6" t="s">
        <v>0</v>
      </c>
      <c r="E307" s="6" t="s">
        <v>15</v>
      </c>
      <c r="F307" s="6" t="s">
        <v>1</v>
      </c>
      <c r="G307" s="20" t="s">
        <v>17</v>
      </c>
      <c r="H307" s="20" t="s">
        <v>16</v>
      </c>
      <c r="I307" s="8" t="s">
        <v>7</v>
      </c>
      <c r="J307" s="6" t="s">
        <v>11</v>
      </c>
      <c r="K307" s="7" t="s">
        <v>12</v>
      </c>
    </row>
    <row r="308" spans="1:11" x14ac:dyDescent="0.25">
      <c r="A308" s="5">
        <v>1</v>
      </c>
      <c r="B308" s="6">
        <f>B293</f>
        <v>4</v>
      </c>
      <c r="C308" s="6">
        <f>C293</f>
        <v>3</v>
      </c>
      <c r="D308" s="8">
        <f>B308*B304+C308*C304+D304</f>
        <v>3.399999999999995</v>
      </c>
      <c r="E308" s="6">
        <f>IF(D308&gt;=0,$F$1,$E$1)</f>
        <v>1</v>
      </c>
      <c r="F308" s="6">
        <f>$F$8</f>
        <v>1</v>
      </c>
      <c r="G308" s="20" t="str">
        <f>IF(E308&gt;0,"A","B")</f>
        <v>A</v>
      </c>
      <c r="H308" s="20" t="str">
        <f>IF(F308&gt;0,"A","B")</f>
        <v>A</v>
      </c>
      <c r="I308" s="8">
        <f t="shared" ref="I308:I313" si="215">F308-E308</f>
        <v>0</v>
      </c>
      <c r="J308" s="8">
        <f t="shared" ref="J308:J313" si="216">$C$1*I308*B308</f>
        <v>0</v>
      </c>
      <c r="K308" s="9">
        <f t="shared" ref="K308:K313" si="217">$C$1*I308*C308</f>
        <v>0</v>
      </c>
    </row>
    <row r="309" spans="1:11" x14ac:dyDescent="0.25">
      <c r="A309" s="5">
        <v>2</v>
      </c>
      <c r="B309" s="6">
        <f t="shared" ref="B309:C309" si="218">B294</f>
        <v>1</v>
      </c>
      <c r="C309" s="6">
        <f t="shared" si="218"/>
        <v>1</v>
      </c>
      <c r="D309" s="8">
        <f>B309*B304+C309*C304+D304</f>
        <v>0.26666666666666528</v>
      </c>
      <c r="E309" s="6">
        <f t="shared" ref="E309:E313" si="219">IF(D309&gt;=0,$F$1,$E$1)</f>
        <v>1</v>
      </c>
      <c r="F309" s="6">
        <f>$F$9</f>
        <v>-1</v>
      </c>
      <c r="G309" s="20" t="str">
        <f t="shared" ref="G309:G313" si="220">IF(E309&gt;0,"A","B")</f>
        <v>A</v>
      </c>
      <c r="H309" s="20" t="str">
        <f t="shared" ref="H309:H313" si="221">IF(F309&gt;0,"A","B")</f>
        <v>B</v>
      </c>
      <c r="I309" s="8">
        <f t="shared" si="215"/>
        <v>-2</v>
      </c>
      <c r="J309" s="8">
        <f t="shared" si="216"/>
        <v>-0.02</v>
      </c>
      <c r="K309" s="9">
        <f t="shared" si="217"/>
        <v>-0.02</v>
      </c>
    </row>
    <row r="310" spans="1:11" x14ac:dyDescent="0.25">
      <c r="A310" s="5">
        <v>3</v>
      </c>
      <c r="B310" s="6">
        <f t="shared" ref="B310:C310" si="222">B295</f>
        <v>2</v>
      </c>
      <c r="C310" s="6">
        <f t="shared" si="222"/>
        <v>2</v>
      </c>
      <c r="D310" s="8">
        <f>B310*B304+C310*C304+D304</f>
        <v>1.5333333333333306</v>
      </c>
      <c r="E310" s="6">
        <f t="shared" si="219"/>
        <v>1</v>
      </c>
      <c r="F310" s="6">
        <f>$F$10</f>
        <v>-1</v>
      </c>
      <c r="G310" s="20" t="str">
        <f t="shared" si="220"/>
        <v>A</v>
      </c>
      <c r="H310" s="20" t="str">
        <f t="shared" si="221"/>
        <v>B</v>
      </c>
      <c r="I310" s="8">
        <f t="shared" si="215"/>
        <v>-2</v>
      </c>
      <c r="J310" s="8">
        <f t="shared" si="216"/>
        <v>-0.04</v>
      </c>
      <c r="K310" s="9">
        <f t="shared" si="217"/>
        <v>-0.04</v>
      </c>
    </row>
    <row r="311" spans="1:11" x14ac:dyDescent="0.25">
      <c r="A311" s="5">
        <v>4</v>
      </c>
      <c r="B311" s="6">
        <f t="shared" ref="B311:C311" si="223">B296</f>
        <v>2</v>
      </c>
      <c r="C311" s="6">
        <f t="shared" si="223"/>
        <v>3</v>
      </c>
      <c r="D311" s="8">
        <f>B311*B304+C311*C304+D304</f>
        <v>2.1999999999999962</v>
      </c>
      <c r="E311" s="6">
        <f t="shared" si="219"/>
        <v>1</v>
      </c>
      <c r="F311" s="6">
        <f>$F$11</f>
        <v>1</v>
      </c>
      <c r="G311" s="20" t="str">
        <f t="shared" si="220"/>
        <v>A</v>
      </c>
      <c r="H311" s="20" t="str">
        <f t="shared" si="221"/>
        <v>A</v>
      </c>
      <c r="I311" s="8">
        <f t="shared" si="215"/>
        <v>0</v>
      </c>
      <c r="J311" s="8">
        <f t="shared" si="216"/>
        <v>0</v>
      </c>
      <c r="K311" s="9">
        <f t="shared" si="217"/>
        <v>0</v>
      </c>
    </row>
    <row r="312" spans="1:11" x14ac:dyDescent="0.25">
      <c r="A312" s="5">
        <v>5</v>
      </c>
      <c r="B312" s="6">
        <f t="shared" ref="B312:C312" si="224">B297</f>
        <v>5</v>
      </c>
      <c r="C312" s="6">
        <f t="shared" si="224"/>
        <v>3</v>
      </c>
      <c r="D312" s="8">
        <f>B312*B304+C312*C304+D304</f>
        <v>3.9999999999999947</v>
      </c>
      <c r="E312" s="6">
        <f t="shared" si="219"/>
        <v>1</v>
      </c>
      <c r="F312" s="6">
        <f>$F$12</f>
        <v>1</v>
      </c>
      <c r="G312" s="20" t="str">
        <f t="shared" si="220"/>
        <v>A</v>
      </c>
      <c r="H312" s="20" t="str">
        <f t="shared" si="221"/>
        <v>A</v>
      </c>
      <c r="I312" s="8">
        <f t="shared" si="215"/>
        <v>0</v>
      </c>
      <c r="J312" s="8">
        <f t="shared" si="216"/>
        <v>0</v>
      </c>
      <c r="K312" s="9">
        <f t="shared" si="217"/>
        <v>0</v>
      </c>
    </row>
    <row r="313" spans="1:11" x14ac:dyDescent="0.25">
      <c r="A313" s="5">
        <v>6</v>
      </c>
      <c r="B313" s="6">
        <f t="shared" ref="B313:C313" si="225">B298</f>
        <v>3</v>
      </c>
      <c r="C313" s="6">
        <f t="shared" si="225"/>
        <v>2</v>
      </c>
      <c r="D313" s="8">
        <f>B313*B304+C313*C304+D304</f>
        <v>2.1333333333333302</v>
      </c>
      <c r="E313" s="6">
        <f t="shared" si="219"/>
        <v>1</v>
      </c>
      <c r="F313" s="6">
        <f>$F$13</f>
        <v>-1</v>
      </c>
      <c r="G313" s="20" t="str">
        <f t="shared" si="220"/>
        <v>A</v>
      </c>
      <c r="H313" s="20" t="str">
        <f t="shared" si="221"/>
        <v>B</v>
      </c>
      <c r="I313" s="8">
        <f t="shared" si="215"/>
        <v>-2</v>
      </c>
      <c r="J313" s="8">
        <f t="shared" si="216"/>
        <v>-0.06</v>
      </c>
      <c r="K313" s="9">
        <f t="shared" si="217"/>
        <v>-0.04</v>
      </c>
    </row>
    <row r="314" spans="1:11" x14ac:dyDescent="0.25">
      <c r="A314" s="5"/>
      <c r="B314" s="6"/>
      <c r="C314" s="6"/>
      <c r="D314" s="6"/>
      <c r="E314" s="6"/>
      <c r="F314" s="6"/>
      <c r="G314" s="20" t="s">
        <v>8</v>
      </c>
      <c r="H314" s="20"/>
      <c r="I314" s="8">
        <f>SUM(I308:I313)</f>
        <v>-6</v>
      </c>
      <c r="J314" s="8">
        <f>AVERAGE(J308:J313)</f>
        <v>-0.02</v>
      </c>
      <c r="K314" s="9">
        <f>AVERAGE(K308:K313)</f>
        <v>-1.6666666666666666E-2</v>
      </c>
    </row>
    <row r="315" spans="1:11" x14ac:dyDescent="0.25">
      <c r="A315" s="5"/>
      <c r="B315" s="6"/>
      <c r="C315" s="6"/>
      <c r="D315" s="6"/>
      <c r="E315" s="6"/>
      <c r="F315" s="6"/>
      <c r="G315" s="20" t="s">
        <v>9</v>
      </c>
      <c r="H315" s="20"/>
      <c r="I315" s="8">
        <f>SUMSQ(I308:I313)</f>
        <v>12</v>
      </c>
      <c r="J315" s="10"/>
      <c r="K315" s="15"/>
    </row>
    <row r="316" spans="1:11" x14ac:dyDescent="0.25">
      <c r="A316" s="11"/>
      <c r="B316" s="12"/>
      <c r="C316" s="12"/>
      <c r="D316" s="12"/>
      <c r="E316" s="12"/>
      <c r="F316" s="12"/>
      <c r="G316" s="21"/>
      <c r="H316" s="21"/>
      <c r="I316" s="18"/>
      <c r="J316" s="13"/>
      <c r="K316" s="16"/>
    </row>
    <row r="317" spans="1:11" x14ac:dyDescent="0.25">
      <c r="A317" s="2" t="s">
        <v>13</v>
      </c>
      <c r="B317" s="3">
        <f>B302+1</f>
        <v>22</v>
      </c>
      <c r="C317" s="3"/>
      <c r="D317" s="3"/>
      <c r="E317" s="3"/>
      <c r="F317" s="3"/>
      <c r="G317" s="19"/>
      <c r="H317" s="19"/>
      <c r="I317" s="17"/>
      <c r="J317" s="3"/>
      <c r="K317" s="4"/>
    </row>
    <row r="318" spans="1:11" x14ac:dyDescent="0.25">
      <c r="A318" s="5"/>
      <c r="B318" s="6" t="s">
        <v>4</v>
      </c>
      <c r="C318" s="6" t="s">
        <v>5</v>
      </c>
      <c r="D318" s="6" t="s">
        <v>6</v>
      </c>
      <c r="E318" s="6"/>
      <c r="F318" s="6"/>
      <c r="G318" s="20"/>
      <c r="H318" s="20"/>
      <c r="I318" s="8"/>
      <c r="J318" s="6"/>
      <c r="K318" s="7"/>
    </row>
    <row r="319" spans="1:11" x14ac:dyDescent="0.25">
      <c r="A319" s="5">
        <v>1</v>
      </c>
      <c r="B319" s="14">
        <f>B304+J314</f>
        <v>0.57999999999999963</v>
      </c>
      <c r="C319" s="14">
        <f>C304+K314</f>
        <v>0.64999999999999891</v>
      </c>
      <c r="D319" s="6">
        <f>D304</f>
        <v>-1</v>
      </c>
      <c r="E319" s="6"/>
      <c r="F319" s="6"/>
      <c r="G319" s="20"/>
      <c r="H319" s="20"/>
      <c r="I319" s="8"/>
      <c r="J319" s="6"/>
      <c r="K319" s="7"/>
    </row>
    <row r="320" spans="1:11" x14ac:dyDescent="0.25">
      <c r="A320" s="5"/>
      <c r="B320" s="6"/>
      <c r="C320" s="6"/>
      <c r="D320" s="6"/>
      <c r="E320" s="6"/>
      <c r="F320" s="6"/>
      <c r="G320" s="20"/>
      <c r="H320" s="20"/>
      <c r="I320" s="8"/>
      <c r="J320" s="6"/>
      <c r="K320" s="7"/>
    </row>
    <row r="321" spans="1:11" x14ac:dyDescent="0.25">
      <c r="A321" s="5"/>
      <c r="B321" s="6"/>
      <c r="C321" s="6"/>
      <c r="D321" s="6"/>
      <c r="E321" s="6"/>
      <c r="F321" s="6"/>
      <c r="G321" s="20"/>
      <c r="H321" s="20"/>
      <c r="I321" s="8"/>
      <c r="J321" s="6"/>
      <c r="K321" s="7"/>
    </row>
    <row r="322" spans="1:11" x14ac:dyDescent="0.25">
      <c r="A322" s="5" t="s">
        <v>10</v>
      </c>
      <c r="B322" s="6" t="s">
        <v>2</v>
      </c>
      <c r="C322" s="6" t="s">
        <v>3</v>
      </c>
      <c r="D322" s="6" t="s">
        <v>0</v>
      </c>
      <c r="E322" s="6" t="s">
        <v>15</v>
      </c>
      <c r="F322" s="6" t="s">
        <v>1</v>
      </c>
      <c r="G322" s="20" t="s">
        <v>17</v>
      </c>
      <c r="H322" s="20" t="s">
        <v>16</v>
      </c>
      <c r="I322" s="8" t="s">
        <v>7</v>
      </c>
      <c r="J322" s="6" t="s">
        <v>11</v>
      </c>
      <c r="K322" s="7" t="s">
        <v>12</v>
      </c>
    </row>
    <row r="323" spans="1:11" x14ac:dyDescent="0.25">
      <c r="A323" s="5">
        <v>1</v>
      </c>
      <c r="B323" s="6">
        <f>B308</f>
        <v>4</v>
      </c>
      <c r="C323" s="6">
        <f>C308</f>
        <v>3</v>
      </c>
      <c r="D323" s="8">
        <f>B323*B319+C323*C319+D319</f>
        <v>3.2699999999999951</v>
      </c>
      <c r="E323" s="6">
        <f>IF(D323&gt;=0,$F$1,$E$1)</f>
        <v>1</v>
      </c>
      <c r="F323" s="6">
        <f>$F$8</f>
        <v>1</v>
      </c>
      <c r="G323" s="20" t="str">
        <f>IF(E323&gt;0,"A","B")</f>
        <v>A</v>
      </c>
      <c r="H323" s="20" t="str">
        <f>IF(F323&gt;0,"A","B")</f>
        <v>A</v>
      </c>
      <c r="I323" s="8">
        <f t="shared" ref="I323:I328" si="226">F323-E323</f>
        <v>0</v>
      </c>
      <c r="J323" s="8">
        <f t="shared" ref="J323:J328" si="227">$C$1*I323*B323</f>
        <v>0</v>
      </c>
      <c r="K323" s="9">
        <f t="shared" ref="K323:K328" si="228">$C$1*I323*C323</f>
        <v>0</v>
      </c>
    </row>
    <row r="324" spans="1:11" x14ac:dyDescent="0.25">
      <c r="A324" s="5">
        <v>2</v>
      </c>
      <c r="B324" s="6">
        <f t="shared" ref="B324:C324" si="229">B309</f>
        <v>1</v>
      </c>
      <c r="C324" s="6">
        <f t="shared" si="229"/>
        <v>1</v>
      </c>
      <c r="D324" s="8">
        <f>B324*B319+C324*C319+D319</f>
        <v>0.22999999999999865</v>
      </c>
      <c r="E324" s="6">
        <f t="shared" ref="E324:E328" si="230">IF(D324&gt;=0,$F$1,$E$1)</f>
        <v>1</v>
      </c>
      <c r="F324" s="6">
        <f>$F$9</f>
        <v>-1</v>
      </c>
      <c r="G324" s="20" t="str">
        <f t="shared" ref="G324:G328" si="231">IF(E324&gt;0,"A","B")</f>
        <v>A</v>
      </c>
      <c r="H324" s="20" t="str">
        <f t="shared" ref="H324:H328" si="232">IF(F324&gt;0,"A","B")</f>
        <v>B</v>
      </c>
      <c r="I324" s="8">
        <f t="shared" si="226"/>
        <v>-2</v>
      </c>
      <c r="J324" s="8">
        <f t="shared" si="227"/>
        <v>-0.02</v>
      </c>
      <c r="K324" s="9">
        <f t="shared" si="228"/>
        <v>-0.02</v>
      </c>
    </row>
    <row r="325" spans="1:11" x14ac:dyDescent="0.25">
      <c r="A325" s="5">
        <v>3</v>
      </c>
      <c r="B325" s="6">
        <f t="shared" ref="B325:C325" si="233">B310</f>
        <v>2</v>
      </c>
      <c r="C325" s="6">
        <f t="shared" si="233"/>
        <v>2</v>
      </c>
      <c r="D325" s="8">
        <f>B325*B319+C325*C319+D319</f>
        <v>1.4599999999999973</v>
      </c>
      <c r="E325" s="6">
        <f t="shared" si="230"/>
        <v>1</v>
      </c>
      <c r="F325" s="6">
        <f>$F$10</f>
        <v>-1</v>
      </c>
      <c r="G325" s="20" t="str">
        <f t="shared" si="231"/>
        <v>A</v>
      </c>
      <c r="H325" s="20" t="str">
        <f t="shared" si="232"/>
        <v>B</v>
      </c>
      <c r="I325" s="8">
        <f t="shared" si="226"/>
        <v>-2</v>
      </c>
      <c r="J325" s="8">
        <f t="shared" si="227"/>
        <v>-0.04</v>
      </c>
      <c r="K325" s="9">
        <f t="shared" si="228"/>
        <v>-0.04</v>
      </c>
    </row>
    <row r="326" spans="1:11" x14ac:dyDescent="0.25">
      <c r="A326" s="5">
        <v>4</v>
      </c>
      <c r="B326" s="6">
        <f t="shared" ref="B326:C326" si="234">B311</f>
        <v>2</v>
      </c>
      <c r="C326" s="6">
        <f t="shared" si="234"/>
        <v>3</v>
      </c>
      <c r="D326" s="8">
        <f>B326*B319+C326*C319+D319</f>
        <v>2.1099999999999959</v>
      </c>
      <c r="E326" s="6">
        <f t="shared" si="230"/>
        <v>1</v>
      </c>
      <c r="F326" s="6">
        <f>$F$11</f>
        <v>1</v>
      </c>
      <c r="G326" s="20" t="str">
        <f t="shared" si="231"/>
        <v>A</v>
      </c>
      <c r="H326" s="20" t="str">
        <f t="shared" si="232"/>
        <v>A</v>
      </c>
      <c r="I326" s="8">
        <f t="shared" si="226"/>
        <v>0</v>
      </c>
      <c r="J326" s="8">
        <f t="shared" si="227"/>
        <v>0</v>
      </c>
      <c r="K326" s="9">
        <f t="shared" si="228"/>
        <v>0</v>
      </c>
    </row>
    <row r="327" spans="1:11" x14ac:dyDescent="0.25">
      <c r="A327" s="5">
        <v>5</v>
      </c>
      <c r="B327" s="6">
        <f t="shared" ref="B327:C327" si="235">B312</f>
        <v>5</v>
      </c>
      <c r="C327" s="6">
        <f t="shared" si="235"/>
        <v>3</v>
      </c>
      <c r="D327" s="8">
        <f>B327*B319+C327*C319+D319</f>
        <v>3.8499999999999943</v>
      </c>
      <c r="E327" s="6">
        <f t="shared" si="230"/>
        <v>1</v>
      </c>
      <c r="F327" s="6">
        <f>$F$12</f>
        <v>1</v>
      </c>
      <c r="G327" s="20" t="str">
        <f t="shared" si="231"/>
        <v>A</v>
      </c>
      <c r="H327" s="20" t="str">
        <f t="shared" si="232"/>
        <v>A</v>
      </c>
      <c r="I327" s="8">
        <f t="shared" si="226"/>
        <v>0</v>
      </c>
      <c r="J327" s="8">
        <f t="shared" si="227"/>
        <v>0</v>
      </c>
      <c r="K327" s="9">
        <f t="shared" si="228"/>
        <v>0</v>
      </c>
    </row>
    <row r="328" spans="1:11" x14ac:dyDescent="0.25">
      <c r="A328" s="5">
        <v>6</v>
      </c>
      <c r="B328" s="6">
        <f t="shared" ref="B328:C328" si="236">B313</f>
        <v>3</v>
      </c>
      <c r="C328" s="6">
        <f t="shared" si="236"/>
        <v>2</v>
      </c>
      <c r="D328" s="8">
        <f>B328*B319+C328*C319+D319</f>
        <v>2.0399999999999965</v>
      </c>
      <c r="E328" s="6">
        <f t="shared" si="230"/>
        <v>1</v>
      </c>
      <c r="F328" s="6">
        <f>$F$13</f>
        <v>-1</v>
      </c>
      <c r="G328" s="20" t="str">
        <f t="shared" si="231"/>
        <v>A</v>
      </c>
      <c r="H328" s="20" t="str">
        <f t="shared" si="232"/>
        <v>B</v>
      </c>
      <c r="I328" s="8">
        <f t="shared" si="226"/>
        <v>-2</v>
      </c>
      <c r="J328" s="8">
        <f t="shared" si="227"/>
        <v>-0.06</v>
      </c>
      <c r="K328" s="9">
        <f t="shared" si="228"/>
        <v>-0.04</v>
      </c>
    </row>
    <row r="329" spans="1:11" x14ac:dyDescent="0.25">
      <c r="A329" s="5"/>
      <c r="B329" s="6"/>
      <c r="C329" s="6"/>
      <c r="D329" s="6"/>
      <c r="E329" s="6"/>
      <c r="F329" s="6"/>
      <c r="G329" s="20" t="s">
        <v>8</v>
      </c>
      <c r="H329" s="20"/>
      <c r="I329" s="8">
        <f>SUM(I323:I328)</f>
        <v>-6</v>
      </c>
      <c r="J329" s="8">
        <f>AVERAGE(J323:J328)</f>
        <v>-0.02</v>
      </c>
      <c r="K329" s="9">
        <f>AVERAGE(K323:K328)</f>
        <v>-1.6666666666666666E-2</v>
      </c>
    </row>
    <row r="330" spans="1:11" x14ac:dyDescent="0.25">
      <c r="A330" s="5"/>
      <c r="B330" s="6"/>
      <c r="C330" s="6"/>
      <c r="D330" s="6"/>
      <c r="E330" s="6"/>
      <c r="F330" s="6"/>
      <c r="G330" s="20" t="s">
        <v>9</v>
      </c>
      <c r="H330" s="20"/>
      <c r="I330" s="8">
        <f>SUMSQ(I323:I328)</f>
        <v>12</v>
      </c>
      <c r="J330" s="10"/>
      <c r="K330" s="15"/>
    </row>
    <row r="331" spans="1:11" x14ac:dyDescent="0.25">
      <c r="A331" s="11"/>
      <c r="B331" s="12"/>
      <c r="C331" s="12"/>
      <c r="D331" s="12"/>
      <c r="E331" s="12"/>
      <c r="F331" s="12"/>
      <c r="G331" s="21"/>
      <c r="H331" s="21"/>
      <c r="I331" s="18"/>
      <c r="J331" s="13"/>
      <c r="K331" s="16"/>
    </row>
    <row r="332" spans="1:11" x14ac:dyDescent="0.25">
      <c r="A332" s="2" t="s">
        <v>13</v>
      </c>
      <c r="B332" s="3">
        <f>B317+1</f>
        <v>23</v>
      </c>
      <c r="C332" s="3"/>
      <c r="D332" s="3"/>
      <c r="E332" s="3"/>
      <c r="F332" s="3"/>
      <c r="G332" s="19"/>
      <c r="H332" s="19"/>
      <c r="I332" s="17"/>
      <c r="J332" s="3"/>
      <c r="K332" s="4"/>
    </row>
    <row r="333" spans="1:11" x14ac:dyDescent="0.25">
      <c r="A333" s="5"/>
      <c r="B333" s="6" t="s">
        <v>4</v>
      </c>
      <c r="C333" s="6" t="s">
        <v>5</v>
      </c>
      <c r="D333" s="6" t="s">
        <v>6</v>
      </c>
      <c r="E333" s="6"/>
      <c r="F333" s="6"/>
      <c r="G333" s="20"/>
      <c r="H333" s="20"/>
      <c r="I333" s="8"/>
      <c r="J333" s="6"/>
      <c r="K333" s="7"/>
    </row>
    <row r="334" spans="1:11" x14ac:dyDescent="0.25">
      <c r="A334" s="5">
        <v>1</v>
      </c>
      <c r="B334" s="14">
        <f>B319+J329</f>
        <v>0.55999999999999961</v>
      </c>
      <c r="C334" s="14">
        <f>C319+K329</f>
        <v>0.63333333333333219</v>
      </c>
      <c r="D334" s="6">
        <f>D319</f>
        <v>-1</v>
      </c>
      <c r="E334" s="6"/>
      <c r="F334" s="6"/>
      <c r="G334" s="20"/>
      <c r="H334" s="20"/>
      <c r="I334" s="8"/>
      <c r="J334" s="6"/>
      <c r="K334" s="7"/>
    </row>
    <row r="335" spans="1:11" x14ac:dyDescent="0.25">
      <c r="A335" s="5"/>
      <c r="B335" s="6"/>
      <c r="C335" s="6"/>
      <c r="D335" s="6"/>
      <c r="E335" s="6"/>
      <c r="F335" s="6"/>
      <c r="G335" s="20"/>
      <c r="H335" s="20"/>
      <c r="I335" s="8"/>
      <c r="J335" s="6"/>
      <c r="K335" s="7"/>
    </row>
    <row r="336" spans="1:11" x14ac:dyDescent="0.25">
      <c r="A336" s="5"/>
      <c r="B336" s="6"/>
      <c r="C336" s="6"/>
      <c r="D336" s="6"/>
      <c r="E336" s="6"/>
      <c r="F336" s="6"/>
      <c r="G336" s="20"/>
      <c r="H336" s="20"/>
      <c r="I336" s="8"/>
      <c r="J336" s="6"/>
      <c r="K336" s="7"/>
    </row>
    <row r="337" spans="1:11" x14ac:dyDescent="0.25">
      <c r="A337" s="5" t="s">
        <v>10</v>
      </c>
      <c r="B337" s="6" t="s">
        <v>2</v>
      </c>
      <c r="C337" s="6" t="s">
        <v>3</v>
      </c>
      <c r="D337" s="6" t="s">
        <v>0</v>
      </c>
      <c r="E337" s="6" t="s">
        <v>15</v>
      </c>
      <c r="F337" s="6" t="s">
        <v>1</v>
      </c>
      <c r="G337" s="20" t="s">
        <v>17</v>
      </c>
      <c r="H337" s="20" t="s">
        <v>16</v>
      </c>
      <c r="I337" s="8" t="s">
        <v>7</v>
      </c>
      <c r="J337" s="6" t="s">
        <v>11</v>
      </c>
      <c r="K337" s="7" t="s">
        <v>12</v>
      </c>
    </row>
    <row r="338" spans="1:11" x14ac:dyDescent="0.25">
      <c r="A338" s="5">
        <v>1</v>
      </c>
      <c r="B338" s="6">
        <f>B323</f>
        <v>4</v>
      </c>
      <c r="C338" s="6">
        <f>C323</f>
        <v>3</v>
      </c>
      <c r="D338" s="8">
        <f>B338*B334+C338*C334+D334</f>
        <v>3.1399999999999952</v>
      </c>
      <c r="E338" s="6">
        <f>IF(D338&gt;=0,$F$1,$E$1)</f>
        <v>1</v>
      </c>
      <c r="F338" s="6">
        <f>$F$8</f>
        <v>1</v>
      </c>
      <c r="G338" s="20" t="str">
        <f>IF(E338&gt;0,"A","B")</f>
        <v>A</v>
      </c>
      <c r="H338" s="20" t="str">
        <f>IF(F338&gt;0,"A","B")</f>
        <v>A</v>
      </c>
      <c r="I338" s="8">
        <f t="shared" ref="I338:I343" si="237">F338-E338</f>
        <v>0</v>
      </c>
      <c r="J338" s="8">
        <f t="shared" ref="J338:J343" si="238">$C$1*I338*B338</f>
        <v>0</v>
      </c>
      <c r="K338" s="9">
        <f t="shared" ref="K338:K343" si="239">$C$1*I338*C338</f>
        <v>0</v>
      </c>
    </row>
    <row r="339" spans="1:11" x14ac:dyDescent="0.25">
      <c r="A339" s="5">
        <v>2</v>
      </c>
      <c r="B339" s="6">
        <f t="shared" ref="B339:C339" si="240">B324</f>
        <v>1</v>
      </c>
      <c r="C339" s="6">
        <f t="shared" si="240"/>
        <v>1</v>
      </c>
      <c r="D339" s="8">
        <f>B339*B334+C339*C334+D334</f>
        <v>0.1933333333333318</v>
      </c>
      <c r="E339" s="6">
        <f t="shared" ref="E339:E343" si="241">IF(D339&gt;=0,$F$1,$E$1)</f>
        <v>1</v>
      </c>
      <c r="F339" s="6">
        <f>$F$9</f>
        <v>-1</v>
      </c>
      <c r="G339" s="20" t="str">
        <f t="shared" ref="G339:G343" si="242">IF(E339&gt;0,"A","B")</f>
        <v>A</v>
      </c>
      <c r="H339" s="20" t="str">
        <f t="shared" ref="H339:H343" si="243">IF(F339&gt;0,"A","B")</f>
        <v>B</v>
      </c>
      <c r="I339" s="8">
        <f t="shared" si="237"/>
        <v>-2</v>
      </c>
      <c r="J339" s="8">
        <f t="shared" si="238"/>
        <v>-0.02</v>
      </c>
      <c r="K339" s="9">
        <f t="shared" si="239"/>
        <v>-0.02</v>
      </c>
    </row>
    <row r="340" spans="1:11" x14ac:dyDescent="0.25">
      <c r="A340" s="5">
        <v>3</v>
      </c>
      <c r="B340" s="6">
        <f t="shared" ref="B340:C340" si="244">B325</f>
        <v>2</v>
      </c>
      <c r="C340" s="6">
        <f t="shared" si="244"/>
        <v>2</v>
      </c>
      <c r="D340" s="8">
        <f>B340*B334+C340*C334+D334</f>
        <v>1.3866666666666636</v>
      </c>
      <c r="E340" s="6">
        <f t="shared" si="241"/>
        <v>1</v>
      </c>
      <c r="F340" s="6">
        <f>$F$10</f>
        <v>-1</v>
      </c>
      <c r="G340" s="20" t="str">
        <f t="shared" si="242"/>
        <v>A</v>
      </c>
      <c r="H340" s="20" t="str">
        <f t="shared" si="243"/>
        <v>B</v>
      </c>
      <c r="I340" s="8">
        <f t="shared" si="237"/>
        <v>-2</v>
      </c>
      <c r="J340" s="8">
        <f t="shared" si="238"/>
        <v>-0.04</v>
      </c>
      <c r="K340" s="9">
        <f t="shared" si="239"/>
        <v>-0.04</v>
      </c>
    </row>
    <row r="341" spans="1:11" x14ac:dyDescent="0.25">
      <c r="A341" s="5">
        <v>4</v>
      </c>
      <c r="B341" s="6">
        <f t="shared" ref="B341:C341" si="245">B326</f>
        <v>2</v>
      </c>
      <c r="C341" s="6">
        <f t="shared" si="245"/>
        <v>3</v>
      </c>
      <c r="D341" s="8">
        <f>B341*B334+C341*C334+D334</f>
        <v>2.019999999999996</v>
      </c>
      <c r="E341" s="6">
        <f t="shared" si="241"/>
        <v>1</v>
      </c>
      <c r="F341" s="6">
        <f>$F$11</f>
        <v>1</v>
      </c>
      <c r="G341" s="20" t="str">
        <f t="shared" si="242"/>
        <v>A</v>
      </c>
      <c r="H341" s="20" t="str">
        <f t="shared" si="243"/>
        <v>A</v>
      </c>
      <c r="I341" s="8">
        <f t="shared" si="237"/>
        <v>0</v>
      </c>
      <c r="J341" s="8">
        <f t="shared" si="238"/>
        <v>0</v>
      </c>
      <c r="K341" s="9">
        <f t="shared" si="239"/>
        <v>0</v>
      </c>
    </row>
    <row r="342" spans="1:11" x14ac:dyDescent="0.25">
      <c r="A342" s="5">
        <v>5</v>
      </c>
      <c r="B342" s="6">
        <f t="shared" ref="B342:C342" si="246">B327</f>
        <v>5</v>
      </c>
      <c r="C342" s="6">
        <f t="shared" si="246"/>
        <v>3</v>
      </c>
      <c r="D342" s="8">
        <f>B342*B334+C342*C334+D334</f>
        <v>3.6999999999999948</v>
      </c>
      <c r="E342" s="6">
        <f t="shared" si="241"/>
        <v>1</v>
      </c>
      <c r="F342" s="6">
        <f>$F$12</f>
        <v>1</v>
      </c>
      <c r="G342" s="20" t="str">
        <f t="shared" si="242"/>
        <v>A</v>
      </c>
      <c r="H342" s="20" t="str">
        <f t="shared" si="243"/>
        <v>A</v>
      </c>
      <c r="I342" s="8">
        <f t="shared" si="237"/>
        <v>0</v>
      </c>
      <c r="J342" s="8">
        <f t="shared" si="238"/>
        <v>0</v>
      </c>
      <c r="K342" s="9">
        <f t="shared" si="239"/>
        <v>0</v>
      </c>
    </row>
    <row r="343" spans="1:11" x14ac:dyDescent="0.25">
      <c r="A343" s="5">
        <v>6</v>
      </c>
      <c r="B343" s="6">
        <f t="shared" ref="B343:C343" si="247">B328</f>
        <v>3</v>
      </c>
      <c r="C343" s="6">
        <f t="shared" si="247"/>
        <v>2</v>
      </c>
      <c r="D343" s="8">
        <f>B343*B334+C343*C334+D334</f>
        <v>1.9466666666666632</v>
      </c>
      <c r="E343" s="6">
        <f t="shared" si="241"/>
        <v>1</v>
      </c>
      <c r="F343" s="6">
        <f>$F$13</f>
        <v>-1</v>
      </c>
      <c r="G343" s="20" t="str">
        <f t="shared" si="242"/>
        <v>A</v>
      </c>
      <c r="H343" s="20" t="str">
        <f t="shared" si="243"/>
        <v>B</v>
      </c>
      <c r="I343" s="8">
        <f t="shared" si="237"/>
        <v>-2</v>
      </c>
      <c r="J343" s="8">
        <f t="shared" si="238"/>
        <v>-0.06</v>
      </c>
      <c r="K343" s="9">
        <f t="shared" si="239"/>
        <v>-0.04</v>
      </c>
    </row>
    <row r="344" spans="1:11" x14ac:dyDescent="0.25">
      <c r="A344" s="5"/>
      <c r="B344" s="6"/>
      <c r="C344" s="6"/>
      <c r="D344" s="6"/>
      <c r="E344" s="6"/>
      <c r="F344" s="6"/>
      <c r="G344" s="20" t="s">
        <v>8</v>
      </c>
      <c r="H344" s="20"/>
      <c r="I344" s="8">
        <f>SUM(I338:I343)</f>
        <v>-6</v>
      </c>
      <c r="J344" s="8">
        <f>AVERAGE(J338:J343)</f>
        <v>-0.02</v>
      </c>
      <c r="K344" s="9">
        <f>AVERAGE(K338:K343)</f>
        <v>-1.6666666666666666E-2</v>
      </c>
    </row>
    <row r="345" spans="1:11" x14ac:dyDescent="0.25">
      <c r="A345" s="5"/>
      <c r="B345" s="6"/>
      <c r="C345" s="6"/>
      <c r="D345" s="6"/>
      <c r="E345" s="6"/>
      <c r="F345" s="6"/>
      <c r="G345" s="20" t="s">
        <v>9</v>
      </c>
      <c r="H345" s="20"/>
      <c r="I345" s="8">
        <f>SUMSQ(I338:I343)</f>
        <v>12</v>
      </c>
      <c r="J345" s="10"/>
      <c r="K345" s="15"/>
    </row>
    <row r="346" spans="1:11" x14ac:dyDescent="0.25">
      <c r="A346" s="11"/>
      <c r="B346" s="12"/>
      <c r="C346" s="12"/>
      <c r="D346" s="12"/>
      <c r="E346" s="12"/>
      <c r="F346" s="12"/>
      <c r="G346" s="21"/>
      <c r="H346" s="21"/>
      <c r="I346" s="18"/>
      <c r="J346" s="13"/>
      <c r="K346" s="16"/>
    </row>
    <row r="347" spans="1:11" x14ac:dyDescent="0.25">
      <c r="A347" s="2" t="s">
        <v>13</v>
      </c>
      <c r="B347" s="3">
        <f>B332+1</f>
        <v>24</v>
      </c>
      <c r="C347" s="3"/>
      <c r="D347" s="3"/>
      <c r="E347" s="3"/>
      <c r="F347" s="3"/>
      <c r="G347" s="19"/>
      <c r="H347" s="19"/>
      <c r="I347" s="17"/>
      <c r="J347" s="3"/>
      <c r="K347" s="4"/>
    </row>
    <row r="348" spans="1:11" x14ac:dyDescent="0.25">
      <c r="A348" s="5"/>
      <c r="B348" s="6" t="s">
        <v>4</v>
      </c>
      <c r="C348" s="6" t="s">
        <v>5</v>
      </c>
      <c r="D348" s="6" t="s">
        <v>6</v>
      </c>
      <c r="E348" s="6"/>
      <c r="F348" s="6"/>
      <c r="G348" s="20"/>
      <c r="H348" s="20"/>
      <c r="I348" s="8"/>
      <c r="J348" s="6"/>
      <c r="K348" s="7"/>
    </row>
    <row r="349" spans="1:11" x14ac:dyDescent="0.25">
      <c r="A349" s="5">
        <v>1</v>
      </c>
      <c r="B349" s="14">
        <f>B334+J344</f>
        <v>0.53999999999999959</v>
      </c>
      <c r="C349" s="14">
        <f>C334+K344</f>
        <v>0.61666666666666548</v>
      </c>
      <c r="D349" s="6">
        <f>D334</f>
        <v>-1</v>
      </c>
      <c r="E349" s="6"/>
      <c r="F349" s="6"/>
      <c r="G349" s="20"/>
      <c r="H349" s="20"/>
      <c r="I349" s="8"/>
      <c r="J349" s="6"/>
      <c r="K349" s="7"/>
    </row>
    <row r="350" spans="1:11" x14ac:dyDescent="0.25">
      <c r="A350" s="5"/>
      <c r="B350" s="6"/>
      <c r="C350" s="6"/>
      <c r="D350" s="6"/>
      <c r="E350" s="6"/>
      <c r="F350" s="6"/>
      <c r="G350" s="20"/>
      <c r="H350" s="20"/>
      <c r="I350" s="8"/>
      <c r="J350" s="6"/>
      <c r="K350" s="7"/>
    </row>
    <row r="351" spans="1:11" x14ac:dyDescent="0.25">
      <c r="A351" s="5"/>
      <c r="B351" s="6"/>
      <c r="C351" s="6"/>
      <c r="D351" s="6"/>
      <c r="E351" s="6"/>
      <c r="F351" s="6"/>
      <c r="G351" s="20"/>
      <c r="H351" s="20"/>
      <c r="I351" s="8"/>
      <c r="J351" s="6"/>
      <c r="K351" s="7"/>
    </row>
    <row r="352" spans="1:11" x14ac:dyDescent="0.25">
      <c r="A352" s="5" t="s">
        <v>10</v>
      </c>
      <c r="B352" s="6" t="s">
        <v>2</v>
      </c>
      <c r="C352" s="6" t="s">
        <v>3</v>
      </c>
      <c r="D352" s="6" t="s">
        <v>0</v>
      </c>
      <c r="E352" s="6" t="s">
        <v>15</v>
      </c>
      <c r="F352" s="6" t="s">
        <v>1</v>
      </c>
      <c r="G352" s="20" t="s">
        <v>17</v>
      </c>
      <c r="H352" s="20" t="s">
        <v>16</v>
      </c>
      <c r="I352" s="8" t="s">
        <v>7</v>
      </c>
      <c r="J352" s="6" t="s">
        <v>11</v>
      </c>
      <c r="K352" s="7" t="s">
        <v>12</v>
      </c>
    </row>
    <row r="353" spans="1:11" x14ac:dyDescent="0.25">
      <c r="A353" s="5">
        <v>1</v>
      </c>
      <c r="B353" s="6">
        <f>B338</f>
        <v>4</v>
      </c>
      <c r="C353" s="6">
        <f>C338</f>
        <v>3</v>
      </c>
      <c r="D353" s="8">
        <f>B353*B349+C353*C349+D349</f>
        <v>3.0099999999999945</v>
      </c>
      <c r="E353" s="6">
        <f>IF(D353&gt;=0,$F$1,$E$1)</f>
        <v>1</v>
      </c>
      <c r="F353" s="6">
        <f>$F$8</f>
        <v>1</v>
      </c>
      <c r="G353" s="20" t="str">
        <f>IF(E353&gt;0,"A","B")</f>
        <v>A</v>
      </c>
      <c r="H353" s="20" t="str">
        <f>IF(F353&gt;0,"A","B")</f>
        <v>A</v>
      </c>
      <c r="I353" s="8">
        <f t="shared" ref="I353:I358" si="248">F353-E353</f>
        <v>0</v>
      </c>
      <c r="J353" s="8">
        <f t="shared" ref="J353:J358" si="249">$C$1*I353*B353</f>
        <v>0</v>
      </c>
      <c r="K353" s="9">
        <f t="shared" ref="K353:K358" si="250">$C$1*I353*C353</f>
        <v>0</v>
      </c>
    </row>
    <row r="354" spans="1:11" x14ac:dyDescent="0.25">
      <c r="A354" s="5">
        <v>2</v>
      </c>
      <c r="B354" s="6">
        <f t="shared" ref="B354:C354" si="251">B339</f>
        <v>1</v>
      </c>
      <c r="C354" s="6">
        <f t="shared" si="251"/>
        <v>1</v>
      </c>
      <c r="D354" s="8">
        <f>B354*B349+C354*C349+D349</f>
        <v>0.15666666666666496</v>
      </c>
      <c r="E354" s="6">
        <f t="shared" ref="E354:E358" si="252">IF(D354&gt;=0,$F$1,$E$1)</f>
        <v>1</v>
      </c>
      <c r="F354" s="6">
        <f>$F$9</f>
        <v>-1</v>
      </c>
      <c r="G354" s="20" t="str">
        <f t="shared" ref="G354:G358" si="253">IF(E354&gt;0,"A","B")</f>
        <v>A</v>
      </c>
      <c r="H354" s="20" t="str">
        <f t="shared" ref="H354:H358" si="254">IF(F354&gt;0,"A","B")</f>
        <v>B</v>
      </c>
      <c r="I354" s="8">
        <f t="shared" si="248"/>
        <v>-2</v>
      </c>
      <c r="J354" s="8">
        <f t="shared" si="249"/>
        <v>-0.02</v>
      </c>
      <c r="K354" s="9">
        <f t="shared" si="250"/>
        <v>-0.02</v>
      </c>
    </row>
    <row r="355" spans="1:11" x14ac:dyDescent="0.25">
      <c r="A355" s="5">
        <v>3</v>
      </c>
      <c r="B355" s="6">
        <f t="shared" ref="B355:C355" si="255">B340</f>
        <v>2</v>
      </c>
      <c r="C355" s="6">
        <f t="shared" si="255"/>
        <v>2</v>
      </c>
      <c r="D355" s="8">
        <f>B355*B349+C355*C349+D349</f>
        <v>1.3133333333333299</v>
      </c>
      <c r="E355" s="6">
        <f t="shared" si="252"/>
        <v>1</v>
      </c>
      <c r="F355" s="6">
        <f>$F$10</f>
        <v>-1</v>
      </c>
      <c r="G355" s="20" t="str">
        <f t="shared" si="253"/>
        <v>A</v>
      </c>
      <c r="H355" s="20" t="str">
        <f t="shared" si="254"/>
        <v>B</v>
      </c>
      <c r="I355" s="8">
        <f t="shared" si="248"/>
        <v>-2</v>
      </c>
      <c r="J355" s="8">
        <f t="shared" si="249"/>
        <v>-0.04</v>
      </c>
      <c r="K355" s="9">
        <f t="shared" si="250"/>
        <v>-0.04</v>
      </c>
    </row>
    <row r="356" spans="1:11" x14ac:dyDescent="0.25">
      <c r="A356" s="5">
        <v>4</v>
      </c>
      <c r="B356" s="6">
        <f t="shared" ref="B356:C356" si="256">B341</f>
        <v>2</v>
      </c>
      <c r="C356" s="6">
        <f t="shared" si="256"/>
        <v>3</v>
      </c>
      <c r="D356" s="8">
        <f>B356*B349+C356*C349+D349</f>
        <v>1.9299999999999957</v>
      </c>
      <c r="E356" s="6">
        <f t="shared" si="252"/>
        <v>1</v>
      </c>
      <c r="F356" s="6">
        <f>$F$11</f>
        <v>1</v>
      </c>
      <c r="G356" s="20" t="str">
        <f t="shared" si="253"/>
        <v>A</v>
      </c>
      <c r="H356" s="20" t="str">
        <f t="shared" si="254"/>
        <v>A</v>
      </c>
      <c r="I356" s="8">
        <f t="shared" si="248"/>
        <v>0</v>
      </c>
      <c r="J356" s="8">
        <f t="shared" si="249"/>
        <v>0</v>
      </c>
      <c r="K356" s="9">
        <f t="shared" si="250"/>
        <v>0</v>
      </c>
    </row>
    <row r="357" spans="1:11" x14ac:dyDescent="0.25">
      <c r="A357" s="5">
        <v>5</v>
      </c>
      <c r="B357" s="6">
        <f t="shared" ref="B357:C357" si="257">B342</f>
        <v>5</v>
      </c>
      <c r="C357" s="6">
        <f t="shared" si="257"/>
        <v>3</v>
      </c>
      <c r="D357" s="8">
        <f>B357*B349+C357*C349+D349</f>
        <v>3.5499999999999945</v>
      </c>
      <c r="E357" s="6">
        <f t="shared" si="252"/>
        <v>1</v>
      </c>
      <c r="F357" s="6">
        <f>$F$12</f>
        <v>1</v>
      </c>
      <c r="G357" s="20" t="str">
        <f t="shared" si="253"/>
        <v>A</v>
      </c>
      <c r="H357" s="20" t="str">
        <f t="shared" si="254"/>
        <v>A</v>
      </c>
      <c r="I357" s="8">
        <f t="shared" si="248"/>
        <v>0</v>
      </c>
      <c r="J357" s="8">
        <f t="shared" si="249"/>
        <v>0</v>
      </c>
      <c r="K357" s="9">
        <f t="shared" si="250"/>
        <v>0</v>
      </c>
    </row>
    <row r="358" spans="1:11" x14ac:dyDescent="0.25">
      <c r="A358" s="5">
        <v>6</v>
      </c>
      <c r="B358" s="6">
        <f t="shared" ref="B358:C358" si="258">B343</f>
        <v>3</v>
      </c>
      <c r="C358" s="6">
        <f t="shared" si="258"/>
        <v>2</v>
      </c>
      <c r="D358" s="8">
        <f>B358*B349+C358*C349+D349</f>
        <v>1.8533333333333299</v>
      </c>
      <c r="E358" s="6">
        <f t="shared" si="252"/>
        <v>1</v>
      </c>
      <c r="F358" s="6">
        <f>$F$13</f>
        <v>-1</v>
      </c>
      <c r="G358" s="20" t="str">
        <f t="shared" si="253"/>
        <v>A</v>
      </c>
      <c r="H358" s="20" t="str">
        <f t="shared" si="254"/>
        <v>B</v>
      </c>
      <c r="I358" s="8">
        <f t="shared" si="248"/>
        <v>-2</v>
      </c>
      <c r="J358" s="8">
        <f t="shared" si="249"/>
        <v>-0.06</v>
      </c>
      <c r="K358" s="9">
        <f t="shared" si="250"/>
        <v>-0.04</v>
      </c>
    </row>
    <row r="359" spans="1:11" x14ac:dyDescent="0.25">
      <c r="A359" s="5"/>
      <c r="B359" s="6"/>
      <c r="C359" s="6"/>
      <c r="D359" s="6"/>
      <c r="E359" s="6"/>
      <c r="F359" s="6"/>
      <c r="G359" s="20" t="s">
        <v>8</v>
      </c>
      <c r="H359" s="20"/>
      <c r="I359" s="8">
        <f>SUM(I353:I358)</f>
        <v>-6</v>
      </c>
      <c r="J359" s="8">
        <f>AVERAGE(J353:J358)</f>
        <v>-0.02</v>
      </c>
      <c r="K359" s="9">
        <f>AVERAGE(K353:K358)</f>
        <v>-1.6666666666666666E-2</v>
      </c>
    </row>
    <row r="360" spans="1:11" x14ac:dyDescent="0.25">
      <c r="A360" s="5"/>
      <c r="B360" s="6"/>
      <c r="C360" s="6"/>
      <c r="D360" s="6"/>
      <c r="E360" s="6"/>
      <c r="F360" s="6"/>
      <c r="G360" s="20" t="s">
        <v>9</v>
      </c>
      <c r="H360" s="20"/>
      <c r="I360" s="8">
        <f>SUMSQ(I353:I358)</f>
        <v>12</v>
      </c>
      <c r="J360" s="10"/>
      <c r="K360" s="15"/>
    </row>
    <row r="361" spans="1:11" x14ac:dyDescent="0.25">
      <c r="A361" s="11"/>
      <c r="B361" s="12"/>
      <c r="C361" s="12"/>
      <c r="D361" s="12"/>
      <c r="E361" s="12"/>
      <c r="F361" s="12"/>
      <c r="G361" s="21"/>
      <c r="H361" s="21"/>
      <c r="I361" s="18"/>
      <c r="J361" s="13"/>
      <c r="K361" s="16"/>
    </row>
    <row r="362" spans="1:11" x14ac:dyDescent="0.25">
      <c r="A362" s="2" t="s">
        <v>13</v>
      </c>
      <c r="B362" s="3">
        <f>B347+1</f>
        <v>25</v>
      </c>
      <c r="C362" s="3"/>
      <c r="D362" s="3"/>
      <c r="E362" s="3"/>
      <c r="F362" s="3"/>
      <c r="G362" s="19"/>
      <c r="H362" s="19"/>
      <c r="I362" s="17"/>
      <c r="J362" s="3"/>
      <c r="K362" s="4"/>
    </row>
    <row r="363" spans="1:11" x14ac:dyDescent="0.25">
      <c r="A363" s="5"/>
      <c r="B363" s="6" t="s">
        <v>4</v>
      </c>
      <c r="C363" s="6" t="s">
        <v>5</v>
      </c>
      <c r="D363" s="6" t="s">
        <v>6</v>
      </c>
      <c r="E363" s="6"/>
      <c r="F363" s="6"/>
      <c r="G363" s="20"/>
      <c r="H363" s="20"/>
      <c r="I363" s="8"/>
      <c r="J363" s="6"/>
      <c r="K363" s="7"/>
    </row>
    <row r="364" spans="1:11" x14ac:dyDescent="0.25">
      <c r="A364" s="5">
        <v>1</v>
      </c>
      <c r="B364" s="14">
        <f>B349+J359</f>
        <v>0.51999999999999957</v>
      </c>
      <c r="C364" s="14">
        <f>C349+K359</f>
        <v>0.59999999999999876</v>
      </c>
      <c r="D364" s="6">
        <f>D349</f>
        <v>-1</v>
      </c>
      <c r="E364" s="6"/>
      <c r="F364" s="6"/>
      <c r="G364" s="20"/>
      <c r="H364" s="20"/>
      <c r="I364" s="8"/>
      <c r="J364" s="6"/>
      <c r="K364" s="7"/>
    </row>
    <row r="365" spans="1:11" x14ac:dyDescent="0.25">
      <c r="A365" s="5"/>
      <c r="B365" s="6"/>
      <c r="C365" s="6"/>
      <c r="D365" s="6"/>
      <c r="E365" s="6"/>
      <c r="F365" s="6"/>
      <c r="G365" s="20"/>
      <c r="H365" s="20"/>
      <c r="I365" s="8"/>
      <c r="J365" s="6"/>
      <c r="K365" s="7"/>
    </row>
    <row r="366" spans="1:11" x14ac:dyDescent="0.25">
      <c r="A366" s="5"/>
      <c r="B366" s="6"/>
      <c r="C366" s="6"/>
      <c r="D366" s="6"/>
      <c r="E366" s="6"/>
      <c r="F366" s="6"/>
      <c r="G366" s="20"/>
      <c r="H366" s="20"/>
      <c r="I366" s="8"/>
      <c r="J366" s="6"/>
      <c r="K366" s="7"/>
    </row>
    <row r="367" spans="1:11" x14ac:dyDescent="0.25">
      <c r="A367" s="5" t="s">
        <v>10</v>
      </c>
      <c r="B367" s="6" t="s">
        <v>2</v>
      </c>
      <c r="C367" s="6" t="s">
        <v>3</v>
      </c>
      <c r="D367" s="6" t="s">
        <v>0</v>
      </c>
      <c r="E367" s="6" t="s">
        <v>15</v>
      </c>
      <c r="F367" s="6" t="s">
        <v>1</v>
      </c>
      <c r="G367" s="20" t="s">
        <v>17</v>
      </c>
      <c r="H367" s="20" t="s">
        <v>16</v>
      </c>
      <c r="I367" s="8" t="s">
        <v>7</v>
      </c>
      <c r="J367" s="6" t="s">
        <v>11</v>
      </c>
      <c r="K367" s="7" t="s">
        <v>12</v>
      </c>
    </row>
    <row r="368" spans="1:11" x14ac:dyDescent="0.25">
      <c r="A368" s="5">
        <v>1</v>
      </c>
      <c r="B368" s="6">
        <f>B353</f>
        <v>4</v>
      </c>
      <c r="C368" s="6">
        <f>C353</f>
        <v>3</v>
      </c>
      <c r="D368" s="8">
        <f>B368*B364+C368*C364+D364</f>
        <v>2.8799999999999946</v>
      </c>
      <c r="E368" s="6">
        <f>IF(D368&gt;=0,$F$1,$E$1)</f>
        <v>1</v>
      </c>
      <c r="F368" s="6">
        <f>$F$8</f>
        <v>1</v>
      </c>
      <c r="G368" s="20" t="str">
        <f>IF(E368&gt;0,"A","B")</f>
        <v>A</v>
      </c>
      <c r="H368" s="20" t="str">
        <f>IF(F368&gt;0,"A","B")</f>
        <v>A</v>
      </c>
      <c r="I368" s="8">
        <f t="shared" ref="I368:I373" si="259">F368-E368</f>
        <v>0</v>
      </c>
      <c r="J368" s="8">
        <f t="shared" ref="J368:J373" si="260">$C$1*I368*B368</f>
        <v>0</v>
      </c>
      <c r="K368" s="9">
        <f t="shared" ref="K368:K373" si="261">$C$1*I368*C368</f>
        <v>0</v>
      </c>
    </row>
    <row r="369" spans="1:11" x14ac:dyDescent="0.25">
      <c r="A369" s="5">
        <v>2</v>
      </c>
      <c r="B369" s="6">
        <f t="shared" ref="B369:C369" si="262">B354</f>
        <v>1</v>
      </c>
      <c r="C369" s="6">
        <f t="shared" si="262"/>
        <v>1</v>
      </c>
      <c r="D369" s="8">
        <f>B369*B364+C369*C364+D364</f>
        <v>0.11999999999999833</v>
      </c>
      <c r="E369" s="6">
        <f t="shared" ref="E369:E373" si="263">IF(D369&gt;=0,$F$1,$E$1)</f>
        <v>1</v>
      </c>
      <c r="F369" s="6">
        <f>$F$9</f>
        <v>-1</v>
      </c>
      <c r="G369" s="20" t="str">
        <f t="shared" ref="G369:G373" si="264">IF(E369&gt;0,"A","B")</f>
        <v>A</v>
      </c>
      <c r="H369" s="20" t="str">
        <f t="shared" ref="H369:H373" si="265">IF(F369&gt;0,"A","B")</f>
        <v>B</v>
      </c>
      <c r="I369" s="8">
        <f t="shared" si="259"/>
        <v>-2</v>
      </c>
      <c r="J369" s="8">
        <f t="shared" si="260"/>
        <v>-0.02</v>
      </c>
      <c r="K369" s="9">
        <f t="shared" si="261"/>
        <v>-0.02</v>
      </c>
    </row>
    <row r="370" spans="1:11" x14ac:dyDescent="0.25">
      <c r="A370" s="5">
        <v>3</v>
      </c>
      <c r="B370" s="6">
        <f t="shared" ref="B370:C370" si="266">B355</f>
        <v>2</v>
      </c>
      <c r="C370" s="6">
        <f t="shared" si="266"/>
        <v>2</v>
      </c>
      <c r="D370" s="8">
        <f>B370*B364+C370*C364+D364</f>
        <v>1.2399999999999967</v>
      </c>
      <c r="E370" s="6">
        <f t="shared" si="263"/>
        <v>1</v>
      </c>
      <c r="F370" s="6">
        <f>$F$10</f>
        <v>-1</v>
      </c>
      <c r="G370" s="20" t="str">
        <f t="shared" si="264"/>
        <v>A</v>
      </c>
      <c r="H370" s="20" t="str">
        <f t="shared" si="265"/>
        <v>B</v>
      </c>
      <c r="I370" s="8">
        <f t="shared" si="259"/>
        <v>-2</v>
      </c>
      <c r="J370" s="8">
        <f t="shared" si="260"/>
        <v>-0.04</v>
      </c>
      <c r="K370" s="9">
        <f t="shared" si="261"/>
        <v>-0.04</v>
      </c>
    </row>
    <row r="371" spans="1:11" x14ac:dyDescent="0.25">
      <c r="A371" s="5">
        <v>4</v>
      </c>
      <c r="B371" s="6">
        <f t="shared" ref="B371:C371" si="267">B356</f>
        <v>2</v>
      </c>
      <c r="C371" s="6">
        <f t="shared" si="267"/>
        <v>3</v>
      </c>
      <c r="D371" s="8">
        <f>B371*B364+C371*C364+D364</f>
        <v>1.8399999999999954</v>
      </c>
      <c r="E371" s="6">
        <f t="shared" si="263"/>
        <v>1</v>
      </c>
      <c r="F371" s="6">
        <f>$F$11</f>
        <v>1</v>
      </c>
      <c r="G371" s="20" t="str">
        <f t="shared" si="264"/>
        <v>A</v>
      </c>
      <c r="H371" s="20" t="str">
        <f t="shared" si="265"/>
        <v>A</v>
      </c>
      <c r="I371" s="8">
        <f t="shared" si="259"/>
        <v>0</v>
      </c>
      <c r="J371" s="8">
        <f t="shared" si="260"/>
        <v>0</v>
      </c>
      <c r="K371" s="9">
        <f t="shared" si="261"/>
        <v>0</v>
      </c>
    </row>
    <row r="372" spans="1:11" x14ac:dyDescent="0.25">
      <c r="A372" s="5">
        <v>5</v>
      </c>
      <c r="B372" s="6">
        <f t="shared" ref="B372:C372" si="268">B357</f>
        <v>5</v>
      </c>
      <c r="C372" s="6">
        <f t="shared" si="268"/>
        <v>3</v>
      </c>
      <c r="D372" s="8">
        <f>B372*B364+C372*C364+D364</f>
        <v>3.3999999999999941</v>
      </c>
      <c r="E372" s="6">
        <f t="shared" si="263"/>
        <v>1</v>
      </c>
      <c r="F372" s="6">
        <f>$F$12</f>
        <v>1</v>
      </c>
      <c r="G372" s="20" t="str">
        <f t="shared" si="264"/>
        <v>A</v>
      </c>
      <c r="H372" s="20" t="str">
        <f t="shared" si="265"/>
        <v>A</v>
      </c>
      <c r="I372" s="8">
        <f t="shared" si="259"/>
        <v>0</v>
      </c>
      <c r="J372" s="8">
        <f t="shared" si="260"/>
        <v>0</v>
      </c>
      <c r="K372" s="9">
        <f t="shared" si="261"/>
        <v>0</v>
      </c>
    </row>
    <row r="373" spans="1:11" x14ac:dyDescent="0.25">
      <c r="A373" s="5">
        <v>6</v>
      </c>
      <c r="B373" s="6">
        <f t="shared" ref="B373:C373" si="269">B358</f>
        <v>3</v>
      </c>
      <c r="C373" s="6">
        <f t="shared" si="269"/>
        <v>2</v>
      </c>
      <c r="D373" s="8">
        <f>B373*B364+C373*C364+D364</f>
        <v>1.7599999999999962</v>
      </c>
      <c r="E373" s="6">
        <f t="shared" si="263"/>
        <v>1</v>
      </c>
      <c r="F373" s="6">
        <f>$F$13</f>
        <v>-1</v>
      </c>
      <c r="G373" s="20" t="str">
        <f t="shared" si="264"/>
        <v>A</v>
      </c>
      <c r="H373" s="20" t="str">
        <f t="shared" si="265"/>
        <v>B</v>
      </c>
      <c r="I373" s="8">
        <f t="shared" si="259"/>
        <v>-2</v>
      </c>
      <c r="J373" s="8">
        <f t="shared" si="260"/>
        <v>-0.06</v>
      </c>
      <c r="K373" s="9">
        <f t="shared" si="261"/>
        <v>-0.04</v>
      </c>
    </row>
    <row r="374" spans="1:11" x14ac:dyDescent="0.25">
      <c r="A374" s="5"/>
      <c r="B374" s="6"/>
      <c r="C374" s="6"/>
      <c r="D374" s="6"/>
      <c r="E374" s="6"/>
      <c r="F374" s="6"/>
      <c r="G374" s="20" t="s">
        <v>8</v>
      </c>
      <c r="H374" s="20"/>
      <c r="I374" s="8">
        <f>SUM(I368:I373)</f>
        <v>-6</v>
      </c>
      <c r="J374" s="8">
        <f>AVERAGE(J368:J373)</f>
        <v>-0.02</v>
      </c>
      <c r="K374" s="9">
        <f>AVERAGE(K368:K373)</f>
        <v>-1.6666666666666666E-2</v>
      </c>
    </row>
    <row r="375" spans="1:11" x14ac:dyDescent="0.25">
      <c r="A375" s="5"/>
      <c r="B375" s="6"/>
      <c r="C375" s="6"/>
      <c r="D375" s="6"/>
      <c r="E375" s="6"/>
      <c r="F375" s="6"/>
      <c r="G375" s="20" t="s">
        <v>9</v>
      </c>
      <c r="H375" s="20"/>
      <c r="I375" s="8">
        <f>SUMSQ(I368:I373)</f>
        <v>12</v>
      </c>
      <c r="J375" s="10"/>
      <c r="K375" s="15"/>
    </row>
    <row r="376" spans="1:11" x14ac:dyDescent="0.25">
      <c r="A376" s="11"/>
      <c r="B376" s="12"/>
      <c r="C376" s="12"/>
      <c r="D376" s="12"/>
      <c r="E376" s="12"/>
      <c r="F376" s="12"/>
      <c r="G376" s="21"/>
      <c r="H376" s="21"/>
      <c r="I376" s="18"/>
      <c r="J376" s="13"/>
      <c r="K376" s="16"/>
    </row>
    <row r="377" spans="1:11" x14ac:dyDescent="0.25">
      <c r="A377" s="2" t="s">
        <v>13</v>
      </c>
      <c r="B377" s="3">
        <f>B362+1</f>
        <v>26</v>
      </c>
      <c r="C377" s="3"/>
      <c r="D377" s="3"/>
      <c r="E377" s="3"/>
      <c r="F377" s="3"/>
      <c r="G377" s="19"/>
      <c r="H377" s="19"/>
      <c r="I377" s="17"/>
      <c r="J377" s="3"/>
      <c r="K377" s="4"/>
    </row>
    <row r="378" spans="1:11" x14ac:dyDescent="0.25">
      <c r="A378" s="5"/>
      <c r="B378" s="6" t="s">
        <v>4</v>
      </c>
      <c r="C378" s="6" t="s">
        <v>5</v>
      </c>
      <c r="D378" s="6" t="s">
        <v>6</v>
      </c>
      <c r="E378" s="6"/>
      <c r="F378" s="6"/>
      <c r="G378" s="20"/>
      <c r="H378" s="20"/>
      <c r="I378" s="8"/>
      <c r="J378" s="6"/>
      <c r="K378" s="7"/>
    </row>
    <row r="379" spans="1:11" x14ac:dyDescent="0.25">
      <c r="A379" s="5">
        <v>1</v>
      </c>
      <c r="B379" s="14">
        <f>B364+J374</f>
        <v>0.49999999999999956</v>
      </c>
      <c r="C379" s="14">
        <f>C364+K374</f>
        <v>0.58333333333333204</v>
      </c>
      <c r="D379" s="6">
        <f>D364</f>
        <v>-1</v>
      </c>
      <c r="E379" s="6"/>
      <c r="F379" s="6"/>
      <c r="G379" s="20"/>
      <c r="H379" s="20"/>
      <c r="I379" s="8"/>
      <c r="J379" s="6"/>
      <c r="K379" s="7"/>
    </row>
    <row r="380" spans="1:11" x14ac:dyDescent="0.25">
      <c r="A380" s="5"/>
      <c r="B380" s="6"/>
      <c r="C380" s="6"/>
      <c r="D380" s="6"/>
      <c r="E380" s="6"/>
      <c r="F380" s="6"/>
      <c r="G380" s="20"/>
      <c r="H380" s="20"/>
      <c r="I380" s="8"/>
      <c r="J380" s="6"/>
      <c r="K380" s="7"/>
    </row>
    <row r="381" spans="1:11" x14ac:dyDescent="0.25">
      <c r="A381" s="5"/>
      <c r="B381" s="6"/>
      <c r="C381" s="6"/>
      <c r="D381" s="6"/>
      <c r="E381" s="6"/>
      <c r="F381" s="6"/>
      <c r="G381" s="20"/>
      <c r="H381" s="20"/>
      <c r="I381" s="8"/>
      <c r="J381" s="6"/>
      <c r="K381" s="7"/>
    </row>
    <row r="382" spans="1:11" x14ac:dyDescent="0.25">
      <c r="A382" s="5" t="s">
        <v>10</v>
      </c>
      <c r="B382" s="6" t="s">
        <v>2</v>
      </c>
      <c r="C382" s="6" t="s">
        <v>3</v>
      </c>
      <c r="D382" s="6" t="s">
        <v>0</v>
      </c>
      <c r="E382" s="6" t="s">
        <v>15</v>
      </c>
      <c r="F382" s="6" t="s">
        <v>1</v>
      </c>
      <c r="G382" s="20" t="s">
        <v>17</v>
      </c>
      <c r="H382" s="20" t="s">
        <v>16</v>
      </c>
      <c r="I382" s="8" t="s">
        <v>7</v>
      </c>
      <c r="J382" s="6" t="s">
        <v>11</v>
      </c>
      <c r="K382" s="7" t="s">
        <v>12</v>
      </c>
    </row>
    <row r="383" spans="1:11" x14ac:dyDescent="0.25">
      <c r="A383" s="5">
        <v>1</v>
      </c>
      <c r="B383" s="6">
        <f>B368</f>
        <v>4</v>
      </c>
      <c r="C383" s="6">
        <f>C368</f>
        <v>3</v>
      </c>
      <c r="D383" s="8">
        <f>B383*B379+C383*C379+D379</f>
        <v>2.7499999999999942</v>
      </c>
      <c r="E383" s="6">
        <f>IF(D383&gt;=0,$F$1,$E$1)</f>
        <v>1</v>
      </c>
      <c r="F383" s="6">
        <f>$F$8</f>
        <v>1</v>
      </c>
      <c r="G383" s="20" t="str">
        <f>IF(E383&gt;0,"A","B")</f>
        <v>A</v>
      </c>
      <c r="H383" s="20" t="str">
        <f>IF(F383&gt;0,"A","B")</f>
        <v>A</v>
      </c>
      <c r="I383" s="8">
        <f t="shared" ref="I383:I388" si="270">F383-E383</f>
        <v>0</v>
      </c>
      <c r="J383" s="8">
        <f t="shared" ref="J383:J388" si="271">$C$1*I383*B383</f>
        <v>0</v>
      </c>
      <c r="K383" s="9">
        <f t="shared" ref="K383:K388" si="272">$C$1*I383*C383</f>
        <v>0</v>
      </c>
    </row>
    <row r="384" spans="1:11" x14ac:dyDescent="0.25">
      <c r="A384" s="5">
        <v>2</v>
      </c>
      <c r="B384" s="6">
        <f t="shared" ref="B384:C384" si="273">B369</f>
        <v>1</v>
      </c>
      <c r="C384" s="6">
        <f t="shared" si="273"/>
        <v>1</v>
      </c>
      <c r="D384" s="8">
        <f>B384*B379+C384*C379+D379</f>
        <v>8.3333333333331705E-2</v>
      </c>
      <c r="E384" s="6">
        <f t="shared" ref="E384:E388" si="274">IF(D384&gt;=0,$F$1,$E$1)</f>
        <v>1</v>
      </c>
      <c r="F384" s="6">
        <f>$F$9</f>
        <v>-1</v>
      </c>
      <c r="G384" s="20" t="str">
        <f t="shared" ref="G384:G388" si="275">IF(E384&gt;0,"A","B")</f>
        <v>A</v>
      </c>
      <c r="H384" s="20" t="str">
        <f t="shared" ref="H384:H388" si="276">IF(F384&gt;0,"A","B")</f>
        <v>B</v>
      </c>
      <c r="I384" s="8">
        <f t="shared" si="270"/>
        <v>-2</v>
      </c>
      <c r="J384" s="8">
        <f t="shared" si="271"/>
        <v>-0.02</v>
      </c>
      <c r="K384" s="9">
        <f t="shared" si="272"/>
        <v>-0.02</v>
      </c>
    </row>
    <row r="385" spans="1:11" x14ac:dyDescent="0.25">
      <c r="A385" s="5">
        <v>3</v>
      </c>
      <c r="B385" s="6">
        <f t="shared" ref="B385:C385" si="277">B370</f>
        <v>2</v>
      </c>
      <c r="C385" s="6">
        <f t="shared" si="277"/>
        <v>2</v>
      </c>
      <c r="D385" s="8">
        <f>B385*B379+C385*C379+D379</f>
        <v>1.1666666666666634</v>
      </c>
      <c r="E385" s="6">
        <f t="shared" si="274"/>
        <v>1</v>
      </c>
      <c r="F385" s="6">
        <f>$F$10</f>
        <v>-1</v>
      </c>
      <c r="G385" s="20" t="str">
        <f t="shared" si="275"/>
        <v>A</v>
      </c>
      <c r="H385" s="20" t="str">
        <f t="shared" si="276"/>
        <v>B</v>
      </c>
      <c r="I385" s="8">
        <f t="shared" si="270"/>
        <v>-2</v>
      </c>
      <c r="J385" s="8">
        <f t="shared" si="271"/>
        <v>-0.04</v>
      </c>
      <c r="K385" s="9">
        <f t="shared" si="272"/>
        <v>-0.04</v>
      </c>
    </row>
    <row r="386" spans="1:11" x14ac:dyDescent="0.25">
      <c r="A386" s="5">
        <v>4</v>
      </c>
      <c r="B386" s="6">
        <f t="shared" ref="B386:C386" si="278">B371</f>
        <v>2</v>
      </c>
      <c r="C386" s="6">
        <f t="shared" si="278"/>
        <v>3</v>
      </c>
      <c r="D386" s="8">
        <f>B386*B379+C386*C379+D379</f>
        <v>1.7499999999999951</v>
      </c>
      <c r="E386" s="6">
        <f t="shared" si="274"/>
        <v>1</v>
      </c>
      <c r="F386" s="6">
        <f>$F$11</f>
        <v>1</v>
      </c>
      <c r="G386" s="20" t="str">
        <f t="shared" si="275"/>
        <v>A</v>
      </c>
      <c r="H386" s="20" t="str">
        <f t="shared" si="276"/>
        <v>A</v>
      </c>
      <c r="I386" s="8">
        <f t="shared" si="270"/>
        <v>0</v>
      </c>
      <c r="J386" s="8">
        <f t="shared" si="271"/>
        <v>0</v>
      </c>
      <c r="K386" s="9">
        <f t="shared" si="272"/>
        <v>0</v>
      </c>
    </row>
    <row r="387" spans="1:11" x14ac:dyDescent="0.25">
      <c r="A387" s="5">
        <v>5</v>
      </c>
      <c r="B387" s="6">
        <f t="shared" ref="B387:C387" si="279">B372</f>
        <v>5</v>
      </c>
      <c r="C387" s="6">
        <f t="shared" si="279"/>
        <v>3</v>
      </c>
      <c r="D387" s="8">
        <f>B387*B379+C387*C379+D379</f>
        <v>3.2499999999999938</v>
      </c>
      <c r="E387" s="6">
        <f t="shared" si="274"/>
        <v>1</v>
      </c>
      <c r="F387" s="6">
        <f>$F$12</f>
        <v>1</v>
      </c>
      <c r="G387" s="20" t="str">
        <f t="shared" si="275"/>
        <v>A</v>
      </c>
      <c r="H387" s="20" t="str">
        <f t="shared" si="276"/>
        <v>A</v>
      </c>
      <c r="I387" s="8">
        <f t="shared" si="270"/>
        <v>0</v>
      </c>
      <c r="J387" s="8">
        <f t="shared" si="271"/>
        <v>0</v>
      </c>
      <c r="K387" s="9">
        <f t="shared" si="272"/>
        <v>0</v>
      </c>
    </row>
    <row r="388" spans="1:11" x14ac:dyDescent="0.25">
      <c r="A388" s="5">
        <v>6</v>
      </c>
      <c r="B388" s="6">
        <f t="shared" ref="B388:C388" si="280">B373</f>
        <v>3</v>
      </c>
      <c r="C388" s="6">
        <f t="shared" si="280"/>
        <v>2</v>
      </c>
      <c r="D388" s="8">
        <f>B388*B379+C388*C379+D379</f>
        <v>1.6666666666666625</v>
      </c>
      <c r="E388" s="6">
        <f t="shared" si="274"/>
        <v>1</v>
      </c>
      <c r="F388" s="6">
        <f>$F$13</f>
        <v>-1</v>
      </c>
      <c r="G388" s="20" t="str">
        <f t="shared" si="275"/>
        <v>A</v>
      </c>
      <c r="H388" s="20" t="str">
        <f t="shared" si="276"/>
        <v>B</v>
      </c>
      <c r="I388" s="8">
        <f t="shared" si="270"/>
        <v>-2</v>
      </c>
      <c r="J388" s="8">
        <f t="shared" si="271"/>
        <v>-0.06</v>
      </c>
      <c r="K388" s="9">
        <f t="shared" si="272"/>
        <v>-0.04</v>
      </c>
    </row>
    <row r="389" spans="1:11" x14ac:dyDescent="0.25">
      <c r="A389" s="5"/>
      <c r="B389" s="6"/>
      <c r="C389" s="6"/>
      <c r="D389" s="6"/>
      <c r="E389" s="6"/>
      <c r="F389" s="6"/>
      <c r="G389" s="20" t="s">
        <v>8</v>
      </c>
      <c r="H389" s="20"/>
      <c r="I389" s="8">
        <f>SUM(I383:I388)</f>
        <v>-6</v>
      </c>
      <c r="J389" s="8">
        <f>AVERAGE(J383:J388)</f>
        <v>-0.02</v>
      </c>
      <c r="K389" s="9">
        <f>AVERAGE(K383:K388)</f>
        <v>-1.6666666666666666E-2</v>
      </c>
    </row>
    <row r="390" spans="1:11" x14ac:dyDescent="0.25">
      <c r="A390" s="5"/>
      <c r="B390" s="6"/>
      <c r="C390" s="6"/>
      <c r="D390" s="6"/>
      <c r="E390" s="6"/>
      <c r="F390" s="6"/>
      <c r="G390" s="20" t="s">
        <v>9</v>
      </c>
      <c r="H390" s="20"/>
      <c r="I390" s="8">
        <f>SUMSQ(I383:I388)</f>
        <v>12</v>
      </c>
      <c r="J390" s="10"/>
      <c r="K390" s="15"/>
    </row>
    <row r="391" spans="1:11" x14ac:dyDescent="0.25">
      <c r="A391" s="11"/>
      <c r="B391" s="12"/>
      <c r="C391" s="12"/>
      <c r="D391" s="12"/>
      <c r="E391" s="12"/>
      <c r="F391" s="12"/>
      <c r="G391" s="21"/>
      <c r="H391" s="21"/>
      <c r="I391" s="18"/>
      <c r="J391" s="13"/>
      <c r="K391" s="16"/>
    </row>
    <row r="392" spans="1:11" x14ac:dyDescent="0.25">
      <c r="A392" s="2" t="s">
        <v>13</v>
      </c>
      <c r="B392" s="3">
        <f>B377+1</f>
        <v>27</v>
      </c>
      <c r="C392" s="3"/>
      <c r="D392" s="3"/>
      <c r="E392" s="3"/>
      <c r="F392" s="3"/>
      <c r="G392" s="19"/>
      <c r="H392" s="19"/>
      <c r="I392" s="17"/>
      <c r="J392" s="3"/>
      <c r="K392" s="4"/>
    </row>
    <row r="393" spans="1:11" x14ac:dyDescent="0.25">
      <c r="A393" s="5"/>
      <c r="B393" s="6" t="s">
        <v>4</v>
      </c>
      <c r="C393" s="6" t="s">
        <v>5</v>
      </c>
      <c r="D393" s="6" t="s">
        <v>6</v>
      </c>
      <c r="E393" s="6"/>
      <c r="F393" s="6"/>
      <c r="G393" s="20"/>
      <c r="H393" s="20"/>
      <c r="I393" s="8"/>
      <c r="J393" s="6"/>
      <c r="K393" s="7"/>
    </row>
    <row r="394" spans="1:11" x14ac:dyDescent="0.25">
      <c r="A394" s="5">
        <v>1</v>
      </c>
      <c r="B394" s="14">
        <f>B379+J389</f>
        <v>0.47999999999999954</v>
      </c>
      <c r="C394" s="14">
        <f>C379+K389</f>
        <v>0.56666666666666532</v>
      </c>
      <c r="D394" s="6">
        <f>D379</f>
        <v>-1</v>
      </c>
      <c r="E394" s="6"/>
      <c r="F394" s="6"/>
      <c r="G394" s="20"/>
      <c r="H394" s="20"/>
      <c r="I394" s="8"/>
      <c r="J394" s="6"/>
      <c r="K394" s="7"/>
    </row>
    <row r="395" spans="1:11" x14ac:dyDescent="0.25">
      <c r="A395" s="5"/>
      <c r="B395" s="6"/>
      <c r="C395" s="6"/>
      <c r="D395" s="6"/>
      <c r="E395" s="6"/>
      <c r="F395" s="6"/>
      <c r="G395" s="20"/>
      <c r="H395" s="20"/>
      <c r="I395" s="8"/>
      <c r="J395" s="6"/>
      <c r="K395" s="7"/>
    </row>
    <row r="396" spans="1:11" x14ac:dyDescent="0.25">
      <c r="A396" s="5"/>
      <c r="B396" s="6"/>
      <c r="C396" s="6"/>
      <c r="D396" s="6"/>
      <c r="E396" s="6"/>
      <c r="F396" s="6"/>
      <c r="G396" s="20"/>
      <c r="H396" s="20"/>
      <c r="I396" s="8"/>
      <c r="J396" s="6"/>
      <c r="K396" s="7"/>
    </row>
    <row r="397" spans="1:11" x14ac:dyDescent="0.25">
      <c r="A397" s="5" t="s">
        <v>10</v>
      </c>
      <c r="B397" s="6" t="s">
        <v>2</v>
      </c>
      <c r="C397" s="6" t="s">
        <v>3</v>
      </c>
      <c r="D397" s="6" t="s">
        <v>0</v>
      </c>
      <c r="E397" s="6" t="s">
        <v>15</v>
      </c>
      <c r="F397" s="6" t="s">
        <v>1</v>
      </c>
      <c r="G397" s="20" t="s">
        <v>17</v>
      </c>
      <c r="H397" s="20" t="s">
        <v>16</v>
      </c>
      <c r="I397" s="8" t="s">
        <v>7</v>
      </c>
      <c r="J397" s="6" t="s">
        <v>11</v>
      </c>
      <c r="K397" s="7" t="s">
        <v>12</v>
      </c>
    </row>
    <row r="398" spans="1:11" x14ac:dyDescent="0.25">
      <c r="A398" s="5">
        <v>1</v>
      </c>
      <c r="B398" s="6">
        <f>B383</f>
        <v>4</v>
      </c>
      <c r="C398" s="6">
        <f>C383</f>
        <v>3</v>
      </c>
      <c r="D398" s="8">
        <f>B398*B394+C398*C394+D394</f>
        <v>2.6199999999999939</v>
      </c>
      <c r="E398" s="6">
        <f>IF(D398&gt;=0,$F$1,$E$1)</f>
        <v>1</v>
      </c>
      <c r="F398" s="6">
        <f>$F$8</f>
        <v>1</v>
      </c>
      <c r="G398" s="20" t="str">
        <f>IF(E398&gt;0,"A","B")</f>
        <v>A</v>
      </c>
      <c r="H398" s="20" t="str">
        <f>IF(F398&gt;0,"A","B")</f>
        <v>A</v>
      </c>
      <c r="I398" s="8">
        <f t="shared" ref="I398:I403" si="281">F398-E398</f>
        <v>0</v>
      </c>
      <c r="J398" s="8">
        <f t="shared" ref="J398:J403" si="282">$C$1*I398*B398</f>
        <v>0</v>
      </c>
      <c r="K398" s="9">
        <f t="shared" ref="K398:K403" si="283">$C$1*I398*C398</f>
        <v>0</v>
      </c>
    </row>
    <row r="399" spans="1:11" x14ac:dyDescent="0.25">
      <c r="A399" s="5">
        <v>2</v>
      </c>
      <c r="B399" s="6">
        <f t="shared" ref="B399:C399" si="284">B384</f>
        <v>1</v>
      </c>
      <c r="C399" s="6">
        <f t="shared" si="284"/>
        <v>1</v>
      </c>
      <c r="D399" s="8">
        <f>B399*B394+C399*C394+D394</f>
        <v>4.6666666666664858E-2</v>
      </c>
      <c r="E399" s="6">
        <f t="shared" ref="E399:E403" si="285">IF(D399&gt;=0,$F$1,$E$1)</f>
        <v>1</v>
      </c>
      <c r="F399" s="6">
        <f>$F$9</f>
        <v>-1</v>
      </c>
      <c r="G399" s="20" t="str">
        <f t="shared" ref="G399:G403" si="286">IF(E399&gt;0,"A","B")</f>
        <v>A</v>
      </c>
      <c r="H399" s="20" t="str">
        <f t="shared" ref="H399:H403" si="287">IF(F399&gt;0,"A","B")</f>
        <v>B</v>
      </c>
      <c r="I399" s="8">
        <f t="shared" si="281"/>
        <v>-2</v>
      </c>
      <c r="J399" s="8">
        <f t="shared" si="282"/>
        <v>-0.02</v>
      </c>
      <c r="K399" s="9">
        <f t="shared" si="283"/>
        <v>-0.02</v>
      </c>
    </row>
    <row r="400" spans="1:11" x14ac:dyDescent="0.25">
      <c r="A400" s="5">
        <v>3</v>
      </c>
      <c r="B400" s="6">
        <f t="shared" ref="B400:C400" si="288">B385</f>
        <v>2</v>
      </c>
      <c r="C400" s="6">
        <f t="shared" si="288"/>
        <v>2</v>
      </c>
      <c r="D400" s="8">
        <f>B400*B394+C400*C394+D394</f>
        <v>1.0933333333333297</v>
      </c>
      <c r="E400" s="6">
        <f t="shared" si="285"/>
        <v>1</v>
      </c>
      <c r="F400" s="6">
        <f>$F$10</f>
        <v>-1</v>
      </c>
      <c r="G400" s="20" t="str">
        <f t="shared" si="286"/>
        <v>A</v>
      </c>
      <c r="H400" s="20" t="str">
        <f t="shared" si="287"/>
        <v>B</v>
      </c>
      <c r="I400" s="8">
        <f t="shared" si="281"/>
        <v>-2</v>
      </c>
      <c r="J400" s="8">
        <f t="shared" si="282"/>
        <v>-0.04</v>
      </c>
      <c r="K400" s="9">
        <f t="shared" si="283"/>
        <v>-0.04</v>
      </c>
    </row>
    <row r="401" spans="1:11" x14ac:dyDescent="0.25">
      <c r="A401" s="5">
        <v>4</v>
      </c>
      <c r="B401" s="6">
        <f t="shared" ref="B401:C401" si="289">B386</f>
        <v>2</v>
      </c>
      <c r="C401" s="6">
        <f t="shared" si="289"/>
        <v>3</v>
      </c>
      <c r="D401" s="8">
        <f>B401*B394+C401*C394+D394</f>
        <v>1.6599999999999948</v>
      </c>
      <c r="E401" s="6">
        <f t="shared" si="285"/>
        <v>1</v>
      </c>
      <c r="F401" s="6">
        <f>$F$11</f>
        <v>1</v>
      </c>
      <c r="G401" s="20" t="str">
        <f t="shared" si="286"/>
        <v>A</v>
      </c>
      <c r="H401" s="20" t="str">
        <f t="shared" si="287"/>
        <v>A</v>
      </c>
      <c r="I401" s="8">
        <f t="shared" si="281"/>
        <v>0</v>
      </c>
      <c r="J401" s="8">
        <f t="shared" si="282"/>
        <v>0</v>
      </c>
      <c r="K401" s="9">
        <f t="shared" si="283"/>
        <v>0</v>
      </c>
    </row>
    <row r="402" spans="1:11" x14ac:dyDescent="0.25">
      <c r="A402" s="5">
        <v>5</v>
      </c>
      <c r="B402" s="6">
        <f t="shared" ref="B402:C402" si="290">B387</f>
        <v>5</v>
      </c>
      <c r="C402" s="6">
        <f t="shared" si="290"/>
        <v>3</v>
      </c>
      <c r="D402" s="8">
        <f>B402*B394+C402*C394+D394</f>
        <v>3.0999999999999934</v>
      </c>
      <c r="E402" s="6">
        <f t="shared" si="285"/>
        <v>1</v>
      </c>
      <c r="F402" s="6">
        <f>$F$12</f>
        <v>1</v>
      </c>
      <c r="G402" s="20" t="str">
        <f t="shared" si="286"/>
        <v>A</v>
      </c>
      <c r="H402" s="20" t="str">
        <f t="shared" si="287"/>
        <v>A</v>
      </c>
      <c r="I402" s="8">
        <f t="shared" si="281"/>
        <v>0</v>
      </c>
      <c r="J402" s="8">
        <f t="shared" si="282"/>
        <v>0</v>
      </c>
      <c r="K402" s="9">
        <f t="shared" si="283"/>
        <v>0</v>
      </c>
    </row>
    <row r="403" spans="1:11" x14ac:dyDescent="0.25">
      <c r="A403" s="5">
        <v>6</v>
      </c>
      <c r="B403" s="6">
        <f t="shared" ref="B403:C403" si="291">B388</f>
        <v>3</v>
      </c>
      <c r="C403" s="6">
        <f t="shared" si="291"/>
        <v>2</v>
      </c>
      <c r="D403" s="8">
        <f>B403*B394+C403*C394+D394</f>
        <v>1.5733333333333293</v>
      </c>
      <c r="E403" s="6">
        <f t="shared" si="285"/>
        <v>1</v>
      </c>
      <c r="F403" s="6">
        <f>$F$13</f>
        <v>-1</v>
      </c>
      <c r="G403" s="20" t="str">
        <f t="shared" si="286"/>
        <v>A</v>
      </c>
      <c r="H403" s="20" t="str">
        <f t="shared" si="287"/>
        <v>B</v>
      </c>
      <c r="I403" s="8">
        <f t="shared" si="281"/>
        <v>-2</v>
      </c>
      <c r="J403" s="8">
        <f t="shared" si="282"/>
        <v>-0.06</v>
      </c>
      <c r="K403" s="9">
        <f t="shared" si="283"/>
        <v>-0.04</v>
      </c>
    </row>
    <row r="404" spans="1:11" x14ac:dyDescent="0.25">
      <c r="A404" s="5"/>
      <c r="B404" s="6"/>
      <c r="C404" s="6"/>
      <c r="D404" s="6"/>
      <c r="E404" s="6"/>
      <c r="F404" s="6"/>
      <c r="G404" s="20" t="s">
        <v>8</v>
      </c>
      <c r="H404" s="20"/>
      <c r="I404" s="8">
        <f>SUM(I398:I403)</f>
        <v>-6</v>
      </c>
      <c r="J404" s="8">
        <f>AVERAGE(J398:J403)</f>
        <v>-0.02</v>
      </c>
      <c r="K404" s="9">
        <f>AVERAGE(K398:K403)</f>
        <v>-1.6666666666666666E-2</v>
      </c>
    </row>
    <row r="405" spans="1:11" x14ac:dyDescent="0.25">
      <c r="A405" s="5"/>
      <c r="B405" s="6"/>
      <c r="C405" s="6"/>
      <c r="D405" s="6"/>
      <c r="E405" s="6"/>
      <c r="F405" s="6"/>
      <c r="G405" s="20" t="s">
        <v>9</v>
      </c>
      <c r="H405" s="20"/>
      <c r="I405" s="8">
        <f>SUMSQ(I398:I403)</f>
        <v>12</v>
      </c>
      <c r="J405" s="10"/>
      <c r="K405" s="15"/>
    </row>
    <row r="406" spans="1:11" x14ac:dyDescent="0.25">
      <c r="A406" s="11"/>
      <c r="B406" s="12"/>
      <c r="C406" s="12"/>
      <c r="D406" s="12"/>
      <c r="E406" s="12"/>
      <c r="F406" s="12"/>
      <c r="G406" s="21"/>
      <c r="H406" s="21"/>
      <c r="I406" s="18"/>
      <c r="J406" s="13"/>
      <c r="K406" s="16"/>
    </row>
    <row r="407" spans="1:11" x14ac:dyDescent="0.25">
      <c r="A407" s="2" t="s">
        <v>13</v>
      </c>
      <c r="B407" s="3">
        <f>B392+1</f>
        <v>28</v>
      </c>
      <c r="C407" s="3"/>
      <c r="D407" s="3"/>
      <c r="E407" s="3"/>
      <c r="F407" s="3"/>
      <c r="G407" s="19"/>
      <c r="H407" s="19"/>
      <c r="I407" s="17"/>
      <c r="J407" s="3"/>
      <c r="K407" s="4"/>
    </row>
    <row r="408" spans="1:11" x14ac:dyDescent="0.25">
      <c r="A408" s="5"/>
      <c r="B408" s="6" t="s">
        <v>4</v>
      </c>
      <c r="C408" s="6" t="s">
        <v>5</v>
      </c>
      <c r="D408" s="6" t="s">
        <v>6</v>
      </c>
      <c r="E408" s="6"/>
      <c r="F408" s="6"/>
      <c r="G408" s="20"/>
      <c r="H408" s="20"/>
      <c r="I408" s="8"/>
      <c r="J408" s="6"/>
      <c r="K408" s="7"/>
    </row>
    <row r="409" spans="1:11" x14ac:dyDescent="0.25">
      <c r="A409" s="5">
        <v>1</v>
      </c>
      <c r="B409" s="14">
        <f>B394+J404</f>
        <v>0.45999999999999952</v>
      </c>
      <c r="C409" s="14">
        <f>C394+K404</f>
        <v>0.5499999999999986</v>
      </c>
      <c r="D409" s="6">
        <f>D394</f>
        <v>-1</v>
      </c>
      <c r="E409" s="6"/>
      <c r="F409" s="6"/>
      <c r="G409" s="20"/>
      <c r="H409" s="20"/>
      <c r="I409" s="8"/>
      <c r="J409" s="6"/>
      <c r="K409" s="7"/>
    </row>
    <row r="410" spans="1:11" x14ac:dyDescent="0.25">
      <c r="A410" s="5"/>
      <c r="B410" s="6"/>
      <c r="C410" s="6"/>
      <c r="D410" s="6"/>
      <c r="E410" s="6"/>
      <c r="F410" s="6"/>
      <c r="G410" s="20"/>
      <c r="H410" s="20"/>
      <c r="I410" s="8"/>
      <c r="J410" s="6"/>
      <c r="K410" s="7"/>
    </row>
    <row r="411" spans="1:11" x14ac:dyDescent="0.25">
      <c r="A411" s="5"/>
      <c r="B411" s="6"/>
      <c r="C411" s="6"/>
      <c r="D411" s="6"/>
      <c r="E411" s="6"/>
      <c r="F411" s="6"/>
      <c r="G411" s="20"/>
      <c r="H411" s="20"/>
      <c r="I411" s="8"/>
      <c r="J411" s="6"/>
      <c r="K411" s="7"/>
    </row>
    <row r="412" spans="1:11" x14ac:dyDescent="0.25">
      <c r="A412" s="5" t="s">
        <v>10</v>
      </c>
      <c r="B412" s="6" t="s">
        <v>2</v>
      </c>
      <c r="C412" s="6" t="s">
        <v>3</v>
      </c>
      <c r="D412" s="6" t="s">
        <v>0</v>
      </c>
      <c r="E412" s="6" t="s">
        <v>15</v>
      </c>
      <c r="F412" s="6" t="s">
        <v>1</v>
      </c>
      <c r="G412" s="20" t="s">
        <v>17</v>
      </c>
      <c r="H412" s="20" t="s">
        <v>16</v>
      </c>
      <c r="I412" s="8" t="s">
        <v>7</v>
      </c>
      <c r="J412" s="6" t="s">
        <v>11</v>
      </c>
      <c r="K412" s="7" t="s">
        <v>12</v>
      </c>
    </row>
    <row r="413" spans="1:11" x14ac:dyDescent="0.25">
      <c r="A413" s="5">
        <v>1</v>
      </c>
      <c r="B413" s="6">
        <f>B398</f>
        <v>4</v>
      </c>
      <c r="C413" s="6">
        <f>C398</f>
        <v>3</v>
      </c>
      <c r="D413" s="8">
        <f>B413*B409+C413*C409+D409</f>
        <v>2.489999999999994</v>
      </c>
      <c r="E413" s="6">
        <f>IF(D413&gt;=0,$F$1,$E$1)</f>
        <v>1</v>
      </c>
      <c r="F413" s="6">
        <f>$F$8</f>
        <v>1</v>
      </c>
      <c r="G413" s="20" t="str">
        <f>IF(E413&gt;0,"A","B")</f>
        <v>A</v>
      </c>
      <c r="H413" s="20" t="str">
        <f>IF(F413&gt;0,"A","B")</f>
        <v>A</v>
      </c>
      <c r="I413" s="8">
        <f t="shared" ref="I413:I418" si="292">F413-E413</f>
        <v>0</v>
      </c>
      <c r="J413" s="8">
        <f t="shared" ref="J413:J418" si="293">$C$1*I413*B413</f>
        <v>0</v>
      </c>
      <c r="K413" s="9">
        <f t="shared" ref="K413:K418" si="294">$C$1*I413*C413</f>
        <v>0</v>
      </c>
    </row>
    <row r="414" spans="1:11" x14ac:dyDescent="0.25">
      <c r="A414" s="5">
        <v>2</v>
      </c>
      <c r="B414" s="6">
        <f t="shared" ref="B414:C414" si="295">B399</f>
        <v>1</v>
      </c>
      <c r="C414" s="6">
        <f t="shared" si="295"/>
        <v>1</v>
      </c>
      <c r="D414" s="8">
        <f>B414*B409+C414*C409+D409</f>
        <v>9.9999999999980105E-3</v>
      </c>
      <c r="E414" s="6">
        <f t="shared" ref="E414:E418" si="296">IF(D414&gt;=0,$F$1,$E$1)</f>
        <v>1</v>
      </c>
      <c r="F414" s="6">
        <f>$F$9</f>
        <v>-1</v>
      </c>
      <c r="G414" s="20" t="str">
        <f t="shared" ref="G414:G418" si="297">IF(E414&gt;0,"A","B")</f>
        <v>A</v>
      </c>
      <c r="H414" s="20" t="str">
        <f t="shared" ref="H414:H418" si="298">IF(F414&gt;0,"A","B")</f>
        <v>B</v>
      </c>
      <c r="I414" s="8">
        <f t="shared" si="292"/>
        <v>-2</v>
      </c>
      <c r="J414" s="8">
        <f t="shared" si="293"/>
        <v>-0.02</v>
      </c>
      <c r="K414" s="9">
        <f t="shared" si="294"/>
        <v>-0.02</v>
      </c>
    </row>
    <row r="415" spans="1:11" x14ac:dyDescent="0.25">
      <c r="A415" s="5">
        <v>3</v>
      </c>
      <c r="B415" s="6">
        <f t="shared" ref="B415:C415" si="299">B400</f>
        <v>2</v>
      </c>
      <c r="C415" s="6">
        <f t="shared" si="299"/>
        <v>2</v>
      </c>
      <c r="D415" s="8">
        <f>B415*B409+C415*C409+D409</f>
        <v>1.019999999999996</v>
      </c>
      <c r="E415" s="6">
        <f t="shared" si="296"/>
        <v>1</v>
      </c>
      <c r="F415" s="6">
        <f>$F$10</f>
        <v>-1</v>
      </c>
      <c r="G415" s="20" t="str">
        <f t="shared" si="297"/>
        <v>A</v>
      </c>
      <c r="H415" s="20" t="str">
        <f t="shared" si="298"/>
        <v>B</v>
      </c>
      <c r="I415" s="8">
        <f t="shared" si="292"/>
        <v>-2</v>
      </c>
      <c r="J415" s="8">
        <f t="shared" si="293"/>
        <v>-0.04</v>
      </c>
      <c r="K415" s="9">
        <f t="shared" si="294"/>
        <v>-0.04</v>
      </c>
    </row>
    <row r="416" spans="1:11" x14ac:dyDescent="0.25">
      <c r="A416" s="5">
        <v>4</v>
      </c>
      <c r="B416" s="6">
        <f t="shared" ref="B416:C416" si="300">B401</f>
        <v>2</v>
      </c>
      <c r="C416" s="6">
        <f t="shared" si="300"/>
        <v>3</v>
      </c>
      <c r="D416" s="8">
        <f>B416*B409+C416*C409+D409</f>
        <v>1.569999999999995</v>
      </c>
      <c r="E416" s="6">
        <f t="shared" si="296"/>
        <v>1</v>
      </c>
      <c r="F416" s="6">
        <f>$F$11</f>
        <v>1</v>
      </c>
      <c r="G416" s="20" t="str">
        <f t="shared" si="297"/>
        <v>A</v>
      </c>
      <c r="H416" s="20" t="str">
        <f t="shared" si="298"/>
        <v>A</v>
      </c>
      <c r="I416" s="8">
        <f t="shared" si="292"/>
        <v>0</v>
      </c>
      <c r="J416" s="8">
        <f t="shared" si="293"/>
        <v>0</v>
      </c>
      <c r="K416" s="9">
        <f t="shared" si="294"/>
        <v>0</v>
      </c>
    </row>
    <row r="417" spans="1:11" x14ac:dyDescent="0.25">
      <c r="A417" s="5">
        <v>5</v>
      </c>
      <c r="B417" s="6">
        <f t="shared" ref="B417:C417" si="301">B402</f>
        <v>5</v>
      </c>
      <c r="C417" s="6">
        <f t="shared" si="301"/>
        <v>3</v>
      </c>
      <c r="D417" s="8">
        <f>B417*B409+C417*C409+D409</f>
        <v>2.9499999999999935</v>
      </c>
      <c r="E417" s="6">
        <f t="shared" si="296"/>
        <v>1</v>
      </c>
      <c r="F417" s="6">
        <f>$F$12</f>
        <v>1</v>
      </c>
      <c r="G417" s="20" t="str">
        <f t="shared" si="297"/>
        <v>A</v>
      </c>
      <c r="H417" s="20" t="str">
        <f t="shared" si="298"/>
        <v>A</v>
      </c>
      <c r="I417" s="8">
        <f t="shared" si="292"/>
        <v>0</v>
      </c>
      <c r="J417" s="8">
        <f t="shared" si="293"/>
        <v>0</v>
      </c>
      <c r="K417" s="9">
        <f t="shared" si="294"/>
        <v>0</v>
      </c>
    </row>
    <row r="418" spans="1:11" x14ac:dyDescent="0.25">
      <c r="A418" s="5">
        <v>6</v>
      </c>
      <c r="B418" s="6">
        <f t="shared" ref="B418:C418" si="302">B403</f>
        <v>3</v>
      </c>
      <c r="C418" s="6">
        <f t="shared" si="302"/>
        <v>2</v>
      </c>
      <c r="D418" s="8">
        <f>B418*B409+C418*C409+D409</f>
        <v>1.479999999999996</v>
      </c>
      <c r="E418" s="6">
        <f t="shared" si="296"/>
        <v>1</v>
      </c>
      <c r="F418" s="6">
        <f>$F$13</f>
        <v>-1</v>
      </c>
      <c r="G418" s="20" t="str">
        <f t="shared" si="297"/>
        <v>A</v>
      </c>
      <c r="H418" s="20" t="str">
        <f t="shared" si="298"/>
        <v>B</v>
      </c>
      <c r="I418" s="8">
        <f t="shared" si="292"/>
        <v>-2</v>
      </c>
      <c r="J418" s="8">
        <f t="shared" si="293"/>
        <v>-0.06</v>
      </c>
      <c r="K418" s="9">
        <f t="shared" si="294"/>
        <v>-0.04</v>
      </c>
    </row>
    <row r="419" spans="1:11" x14ac:dyDescent="0.25">
      <c r="A419" s="5"/>
      <c r="B419" s="6"/>
      <c r="C419" s="6"/>
      <c r="D419" s="6"/>
      <c r="E419" s="6"/>
      <c r="F419" s="6"/>
      <c r="G419" s="20" t="s">
        <v>8</v>
      </c>
      <c r="H419" s="20"/>
      <c r="I419" s="8">
        <f>SUM(I413:I418)</f>
        <v>-6</v>
      </c>
      <c r="J419" s="8">
        <f>AVERAGE(J413:J418)</f>
        <v>-0.02</v>
      </c>
      <c r="K419" s="9">
        <f>AVERAGE(K413:K418)</f>
        <v>-1.6666666666666666E-2</v>
      </c>
    </row>
    <row r="420" spans="1:11" x14ac:dyDescent="0.25">
      <c r="A420" s="5"/>
      <c r="B420" s="6"/>
      <c r="C420" s="6"/>
      <c r="D420" s="6"/>
      <c r="E420" s="6"/>
      <c r="F420" s="6"/>
      <c r="G420" s="20" t="s">
        <v>9</v>
      </c>
      <c r="H420" s="20"/>
      <c r="I420" s="8">
        <f>SUMSQ(I413:I418)</f>
        <v>12</v>
      </c>
      <c r="J420" s="10"/>
      <c r="K420" s="15"/>
    </row>
    <row r="421" spans="1:11" x14ac:dyDescent="0.25">
      <c r="A421" s="11"/>
      <c r="B421" s="12"/>
      <c r="C421" s="12"/>
      <c r="D421" s="12"/>
      <c r="E421" s="12"/>
      <c r="F421" s="12"/>
      <c r="G421" s="21"/>
      <c r="H421" s="21"/>
      <c r="I421" s="18"/>
      <c r="J421" s="13"/>
      <c r="K421" s="16"/>
    </row>
    <row r="422" spans="1:11" x14ac:dyDescent="0.25">
      <c r="A422" s="2" t="s">
        <v>13</v>
      </c>
      <c r="B422" s="3">
        <f>B407+1</f>
        <v>29</v>
      </c>
      <c r="C422" s="3"/>
      <c r="D422" s="3"/>
      <c r="E422" s="3"/>
      <c r="F422" s="3"/>
      <c r="G422" s="19"/>
      <c r="H422" s="19"/>
      <c r="I422" s="17"/>
      <c r="J422" s="3"/>
      <c r="K422" s="4"/>
    </row>
    <row r="423" spans="1:11" x14ac:dyDescent="0.25">
      <c r="A423" s="5"/>
      <c r="B423" s="6" t="s">
        <v>4</v>
      </c>
      <c r="C423" s="6" t="s">
        <v>5</v>
      </c>
      <c r="D423" s="6" t="s">
        <v>6</v>
      </c>
      <c r="E423" s="6"/>
      <c r="F423" s="6"/>
      <c r="G423" s="20"/>
      <c r="H423" s="20"/>
      <c r="I423" s="8"/>
      <c r="J423" s="6"/>
      <c r="K423" s="7"/>
    </row>
    <row r="424" spans="1:11" x14ac:dyDescent="0.25">
      <c r="A424" s="5">
        <v>1</v>
      </c>
      <c r="B424" s="14">
        <f>B409+J419</f>
        <v>0.4399999999999995</v>
      </c>
      <c r="C424" s="14">
        <f>C409+K419</f>
        <v>0.53333333333333188</v>
      </c>
      <c r="D424" s="6">
        <f>D409</f>
        <v>-1</v>
      </c>
      <c r="E424" s="6"/>
      <c r="F424" s="6"/>
      <c r="G424" s="20"/>
      <c r="H424" s="20"/>
      <c r="I424" s="8"/>
      <c r="J424" s="6"/>
      <c r="K424" s="7"/>
    </row>
    <row r="425" spans="1:11" x14ac:dyDescent="0.25">
      <c r="A425" s="5"/>
      <c r="B425" s="6"/>
      <c r="C425" s="6"/>
      <c r="D425" s="6"/>
      <c r="E425" s="6"/>
      <c r="F425" s="6"/>
      <c r="G425" s="20"/>
      <c r="H425" s="20"/>
      <c r="I425" s="8"/>
      <c r="J425" s="6"/>
      <c r="K425" s="7"/>
    </row>
    <row r="426" spans="1:11" x14ac:dyDescent="0.25">
      <c r="A426" s="5"/>
      <c r="B426" s="6"/>
      <c r="C426" s="6"/>
      <c r="D426" s="6"/>
      <c r="E426" s="6"/>
      <c r="F426" s="6"/>
      <c r="G426" s="20"/>
      <c r="H426" s="20"/>
      <c r="I426" s="8"/>
      <c r="J426" s="6"/>
      <c r="K426" s="7"/>
    </row>
    <row r="427" spans="1:11" x14ac:dyDescent="0.25">
      <c r="A427" s="5" t="s">
        <v>10</v>
      </c>
      <c r="B427" s="6" t="s">
        <v>2</v>
      </c>
      <c r="C427" s="6" t="s">
        <v>3</v>
      </c>
      <c r="D427" s="6" t="s">
        <v>0</v>
      </c>
      <c r="E427" s="6" t="s">
        <v>15</v>
      </c>
      <c r="F427" s="6" t="s">
        <v>1</v>
      </c>
      <c r="G427" s="20" t="s">
        <v>17</v>
      </c>
      <c r="H427" s="20" t="s">
        <v>16</v>
      </c>
      <c r="I427" s="8" t="s">
        <v>7</v>
      </c>
      <c r="J427" s="6" t="s">
        <v>11</v>
      </c>
      <c r="K427" s="7" t="s">
        <v>12</v>
      </c>
    </row>
    <row r="428" spans="1:11" x14ac:dyDescent="0.25">
      <c r="A428" s="5">
        <v>1</v>
      </c>
      <c r="B428" s="6">
        <f>B413</f>
        <v>4</v>
      </c>
      <c r="C428" s="6">
        <f>C413</f>
        <v>3</v>
      </c>
      <c r="D428" s="8">
        <f>B428*B424+C428*C424+D424</f>
        <v>2.3599999999999937</v>
      </c>
      <c r="E428" s="6">
        <f>IF(D428&gt;=0,$F$1,$E$1)</f>
        <v>1</v>
      </c>
      <c r="F428" s="6">
        <f>$F$8</f>
        <v>1</v>
      </c>
      <c r="G428" s="20" t="str">
        <f>IF(E428&gt;0,"A","B")</f>
        <v>A</v>
      </c>
      <c r="H428" s="20" t="str">
        <f>IF(F428&gt;0,"A","B")</f>
        <v>A</v>
      </c>
      <c r="I428" s="8">
        <f t="shared" ref="I428:I433" si="303">F428-E428</f>
        <v>0</v>
      </c>
      <c r="J428" s="8">
        <f t="shared" ref="J428:J433" si="304">$C$1*I428*B428</f>
        <v>0</v>
      </c>
      <c r="K428" s="9">
        <f t="shared" ref="K428:K433" si="305">$C$1*I428*C428</f>
        <v>0</v>
      </c>
    </row>
    <row r="429" spans="1:11" x14ac:dyDescent="0.25">
      <c r="A429" s="5">
        <v>2</v>
      </c>
      <c r="B429" s="6">
        <f t="shared" ref="B429:C429" si="306">B414</f>
        <v>1</v>
      </c>
      <c r="C429" s="6">
        <f t="shared" si="306"/>
        <v>1</v>
      </c>
      <c r="D429" s="8">
        <f>B429*B424+C429*C424+D424</f>
        <v>-2.6666666666668615E-2</v>
      </c>
      <c r="E429" s="6">
        <f t="shared" ref="E429:E433" si="307">IF(D429&gt;=0,$F$1,$E$1)</f>
        <v>-1</v>
      </c>
      <c r="F429" s="6">
        <f>$F$9</f>
        <v>-1</v>
      </c>
      <c r="G429" s="20" t="str">
        <f t="shared" ref="G429:G433" si="308">IF(E429&gt;0,"A","B")</f>
        <v>B</v>
      </c>
      <c r="H429" s="20" t="str">
        <f t="shared" ref="H429:H433" si="309">IF(F429&gt;0,"A","B")</f>
        <v>B</v>
      </c>
      <c r="I429" s="8">
        <f t="shared" si="303"/>
        <v>0</v>
      </c>
      <c r="J429" s="8">
        <f t="shared" si="304"/>
        <v>0</v>
      </c>
      <c r="K429" s="9">
        <f t="shared" si="305"/>
        <v>0</v>
      </c>
    </row>
    <row r="430" spans="1:11" x14ac:dyDescent="0.25">
      <c r="A430" s="5">
        <v>3</v>
      </c>
      <c r="B430" s="6">
        <f t="shared" ref="B430:C430" si="310">B415</f>
        <v>2</v>
      </c>
      <c r="C430" s="6">
        <f t="shared" si="310"/>
        <v>2</v>
      </c>
      <c r="D430" s="8">
        <f>B430*B424+C430*C424+D424</f>
        <v>0.94666666666666277</v>
      </c>
      <c r="E430" s="6">
        <f t="shared" si="307"/>
        <v>1</v>
      </c>
      <c r="F430" s="6">
        <f>$F$10</f>
        <v>-1</v>
      </c>
      <c r="G430" s="20" t="str">
        <f t="shared" si="308"/>
        <v>A</v>
      </c>
      <c r="H430" s="20" t="str">
        <f t="shared" si="309"/>
        <v>B</v>
      </c>
      <c r="I430" s="8">
        <f t="shared" si="303"/>
        <v>-2</v>
      </c>
      <c r="J430" s="8">
        <f t="shared" si="304"/>
        <v>-0.04</v>
      </c>
      <c r="K430" s="9">
        <f t="shared" si="305"/>
        <v>-0.04</v>
      </c>
    </row>
    <row r="431" spans="1:11" x14ac:dyDescent="0.25">
      <c r="A431" s="5">
        <v>4</v>
      </c>
      <c r="B431" s="6">
        <f t="shared" ref="B431:C431" si="311">B416</f>
        <v>2</v>
      </c>
      <c r="C431" s="6">
        <f t="shared" si="311"/>
        <v>3</v>
      </c>
      <c r="D431" s="8">
        <f>B431*B424+C431*C424+D424</f>
        <v>1.4799999999999947</v>
      </c>
      <c r="E431" s="6">
        <f t="shared" si="307"/>
        <v>1</v>
      </c>
      <c r="F431" s="6">
        <f>$F$11</f>
        <v>1</v>
      </c>
      <c r="G431" s="20" t="str">
        <f t="shared" si="308"/>
        <v>A</v>
      </c>
      <c r="H431" s="20" t="str">
        <f t="shared" si="309"/>
        <v>A</v>
      </c>
      <c r="I431" s="8">
        <f t="shared" si="303"/>
        <v>0</v>
      </c>
      <c r="J431" s="8">
        <f t="shared" si="304"/>
        <v>0</v>
      </c>
      <c r="K431" s="9">
        <f t="shared" si="305"/>
        <v>0</v>
      </c>
    </row>
    <row r="432" spans="1:11" x14ac:dyDescent="0.25">
      <c r="A432" s="5">
        <v>5</v>
      </c>
      <c r="B432" s="6">
        <f t="shared" ref="B432:C432" si="312">B417</f>
        <v>5</v>
      </c>
      <c r="C432" s="6">
        <f t="shared" si="312"/>
        <v>3</v>
      </c>
      <c r="D432" s="8">
        <f>B432*B424+C432*C424+D424</f>
        <v>2.7999999999999932</v>
      </c>
      <c r="E432" s="6">
        <f t="shared" si="307"/>
        <v>1</v>
      </c>
      <c r="F432" s="6">
        <f>$F$12</f>
        <v>1</v>
      </c>
      <c r="G432" s="20" t="str">
        <f t="shared" si="308"/>
        <v>A</v>
      </c>
      <c r="H432" s="20" t="str">
        <f t="shared" si="309"/>
        <v>A</v>
      </c>
      <c r="I432" s="8">
        <f t="shared" si="303"/>
        <v>0</v>
      </c>
      <c r="J432" s="8">
        <f t="shared" si="304"/>
        <v>0</v>
      </c>
      <c r="K432" s="9">
        <f t="shared" si="305"/>
        <v>0</v>
      </c>
    </row>
    <row r="433" spans="1:11" x14ac:dyDescent="0.25">
      <c r="A433" s="5">
        <v>6</v>
      </c>
      <c r="B433" s="6">
        <f t="shared" ref="B433:C433" si="313">B418</f>
        <v>3</v>
      </c>
      <c r="C433" s="6">
        <f t="shared" si="313"/>
        <v>2</v>
      </c>
      <c r="D433" s="8">
        <f>B433*B424+C433*C424+D424</f>
        <v>1.3866666666666623</v>
      </c>
      <c r="E433" s="6">
        <f t="shared" si="307"/>
        <v>1</v>
      </c>
      <c r="F433" s="6">
        <f>$F$13</f>
        <v>-1</v>
      </c>
      <c r="G433" s="20" t="str">
        <f t="shared" si="308"/>
        <v>A</v>
      </c>
      <c r="H433" s="20" t="str">
        <f t="shared" si="309"/>
        <v>B</v>
      </c>
      <c r="I433" s="8">
        <f t="shared" si="303"/>
        <v>-2</v>
      </c>
      <c r="J433" s="8">
        <f t="shared" si="304"/>
        <v>-0.06</v>
      </c>
      <c r="K433" s="9">
        <f t="shared" si="305"/>
        <v>-0.04</v>
      </c>
    </row>
    <row r="434" spans="1:11" x14ac:dyDescent="0.25">
      <c r="A434" s="5"/>
      <c r="B434" s="6"/>
      <c r="C434" s="6"/>
      <c r="D434" s="6"/>
      <c r="E434" s="6"/>
      <c r="F434" s="6"/>
      <c r="G434" s="20" t="s">
        <v>8</v>
      </c>
      <c r="H434" s="20"/>
      <c r="I434" s="8">
        <f>SUM(I428:I433)</f>
        <v>-4</v>
      </c>
      <c r="J434" s="8">
        <f>AVERAGE(J428:J433)</f>
        <v>-1.6666666666666666E-2</v>
      </c>
      <c r="K434" s="9">
        <f>AVERAGE(K428:K433)</f>
        <v>-1.3333333333333334E-2</v>
      </c>
    </row>
    <row r="435" spans="1:11" x14ac:dyDescent="0.25">
      <c r="A435" s="5"/>
      <c r="B435" s="6"/>
      <c r="C435" s="6"/>
      <c r="D435" s="6"/>
      <c r="E435" s="6"/>
      <c r="F435" s="6"/>
      <c r="G435" s="20" t="s">
        <v>9</v>
      </c>
      <c r="H435" s="20"/>
      <c r="I435" s="8">
        <f>SUMSQ(I428:I433)</f>
        <v>8</v>
      </c>
      <c r="J435" s="10"/>
      <c r="K435" s="15"/>
    </row>
    <row r="436" spans="1:11" x14ac:dyDescent="0.25">
      <c r="A436" s="11"/>
      <c r="B436" s="12"/>
      <c r="C436" s="12"/>
      <c r="D436" s="12"/>
      <c r="E436" s="12"/>
      <c r="F436" s="12"/>
      <c r="G436" s="21"/>
      <c r="H436" s="21"/>
      <c r="I436" s="18"/>
      <c r="J436" s="13"/>
      <c r="K436" s="16"/>
    </row>
    <row r="437" spans="1:11" x14ac:dyDescent="0.25">
      <c r="A437" s="2" t="s">
        <v>13</v>
      </c>
      <c r="B437" s="3">
        <f>B422+1</f>
        <v>30</v>
      </c>
      <c r="C437" s="3"/>
      <c r="D437" s="3"/>
      <c r="E437" s="3"/>
      <c r="F437" s="3"/>
      <c r="G437" s="19"/>
      <c r="H437" s="19"/>
      <c r="I437" s="17"/>
      <c r="J437" s="3"/>
      <c r="K437" s="4"/>
    </row>
    <row r="438" spans="1:11" x14ac:dyDescent="0.25">
      <c r="A438" s="5"/>
      <c r="B438" s="6" t="s">
        <v>4</v>
      </c>
      <c r="C438" s="6" t="s">
        <v>5</v>
      </c>
      <c r="D438" s="6" t="s">
        <v>6</v>
      </c>
      <c r="E438" s="6"/>
      <c r="F438" s="6"/>
      <c r="G438" s="20"/>
      <c r="H438" s="20"/>
      <c r="I438" s="8"/>
      <c r="J438" s="6"/>
      <c r="K438" s="7"/>
    </row>
    <row r="439" spans="1:11" x14ac:dyDescent="0.25">
      <c r="A439" s="5">
        <v>1</v>
      </c>
      <c r="B439" s="14">
        <f>B424+J434</f>
        <v>0.42333333333333284</v>
      </c>
      <c r="C439" s="14">
        <f>C424+K434</f>
        <v>0.51999999999999857</v>
      </c>
      <c r="D439" s="6">
        <f>D424</f>
        <v>-1</v>
      </c>
      <c r="E439" s="6"/>
      <c r="F439" s="6"/>
      <c r="G439" s="20"/>
      <c r="H439" s="20"/>
      <c r="I439" s="8"/>
      <c r="J439" s="6"/>
      <c r="K439" s="7"/>
    </row>
    <row r="440" spans="1:11" x14ac:dyDescent="0.25">
      <c r="A440" s="5"/>
      <c r="B440" s="6"/>
      <c r="C440" s="6"/>
      <c r="D440" s="6"/>
      <c r="E440" s="6"/>
      <c r="F440" s="6"/>
      <c r="G440" s="20"/>
      <c r="H440" s="20"/>
      <c r="I440" s="8"/>
      <c r="J440" s="6"/>
      <c r="K440" s="7"/>
    </row>
    <row r="441" spans="1:11" x14ac:dyDescent="0.25">
      <c r="A441" s="5"/>
      <c r="B441" s="6"/>
      <c r="C441" s="6"/>
      <c r="D441" s="6"/>
      <c r="E441" s="6"/>
      <c r="F441" s="6"/>
      <c r="G441" s="20"/>
      <c r="H441" s="20"/>
      <c r="I441" s="8"/>
      <c r="J441" s="6"/>
      <c r="K441" s="7"/>
    </row>
    <row r="442" spans="1:11" x14ac:dyDescent="0.25">
      <c r="A442" s="5" t="s">
        <v>10</v>
      </c>
      <c r="B442" s="6" t="s">
        <v>2</v>
      </c>
      <c r="C442" s="6" t="s">
        <v>3</v>
      </c>
      <c r="D442" s="6" t="s">
        <v>0</v>
      </c>
      <c r="E442" s="6" t="s">
        <v>15</v>
      </c>
      <c r="F442" s="6" t="s">
        <v>1</v>
      </c>
      <c r="G442" s="20" t="s">
        <v>17</v>
      </c>
      <c r="H442" s="20" t="s">
        <v>16</v>
      </c>
      <c r="I442" s="8" t="s">
        <v>7</v>
      </c>
      <c r="J442" s="6" t="s">
        <v>11</v>
      </c>
      <c r="K442" s="7" t="s">
        <v>12</v>
      </c>
    </row>
    <row r="443" spans="1:11" x14ac:dyDescent="0.25">
      <c r="A443" s="5">
        <v>1</v>
      </c>
      <c r="B443" s="6">
        <f>B428</f>
        <v>4</v>
      </c>
      <c r="C443" s="6">
        <f>C428</f>
        <v>3</v>
      </c>
      <c r="D443" s="8">
        <f>B443*B439+C443*C439+D439</f>
        <v>2.2533333333333267</v>
      </c>
      <c r="E443" s="6">
        <f>IF(D443&gt;=0,$F$1,$E$1)</f>
        <v>1</v>
      </c>
      <c r="F443" s="6">
        <f>$F$8</f>
        <v>1</v>
      </c>
      <c r="G443" s="20" t="str">
        <f>IF(E443&gt;0,"A","B")</f>
        <v>A</v>
      </c>
      <c r="H443" s="20" t="str">
        <f>IF(F443&gt;0,"A","B")</f>
        <v>A</v>
      </c>
      <c r="I443" s="8">
        <f t="shared" ref="I443:I448" si="314">F443-E443</f>
        <v>0</v>
      </c>
      <c r="J443" s="8">
        <f t="shared" ref="J443:J448" si="315">$C$1*I443*B443</f>
        <v>0</v>
      </c>
      <c r="K443" s="9">
        <f t="shared" ref="K443:K448" si="316">$C$1*I443*C443</f>
        <v>0</v>
      </c>
    </row>
    <row r="444" spans="1:11" x14ac:dyDescent="0.25">
      <c r="A444" s="5">
        <v>2</v>
      </c>
      <c r="B444" s="6">
        <f t="shared" ref="B444:C444" si="317">B429</f>
        <v>1</v>
      </c>
      <c r="C444" s="6">
        <f t="shared" si="317"/>
        <v>1</v>
      </c>
      <c r="D444" s="8">
        <f>B444*B439+C444*C439+D439</f>
        <v>-5.6666666666668641E-2</v>
      </c>
      <c r="E444" s="6">
        <f t="shared" ref="E444:E448" si="318">IF(D444&gt;=0,$F$1,$E$1)</f>
        <v>-1</v>
      </c>
      <c r="F444" s="6">
        <f>$F$9</f>
        <v>-1</v>
      </c>
      <c r="G444" s="20" t="str">
        <f t="shared" ref="G444:G448" si="319">IF(E444&gt;0,"A","B")</f>
        <v>B</v>
      </c>
      <c r="H444" s="20" t="str">
        <f t="shared" ref="H444:H448" si="320">IF(F444&gt;0,"A","B")</f>
        <v>B</v>
      </c>
      <c r="I444" s="8">
        <f t="shared" si="314"/>
        <v>0</v>
      </c>
      <c r="J444" s="8">
        <f t="shared" si="315"/>
        <v>0</v>
      </c>
      <c r="K444" s="9">
        <f t="shared" si="316"/>
        <v>0</v>
      </c>
    </row>
    <row r="445" spans="1:11" x14ac:dyDescent="0.25">
      <c r="A445" s="5">
        <v>3</v>
      </c>
      <c r="B445" s="6">
        <f t="shared" ref="B445:C445" si="321">B430</f>
        <v>2</v>
      </c>
      <c r="C445" s="6">
        <f t="shared" si="321"/>
        <v>2</v>
      </c>
      <c r="D445" s="8">
        <f>B445*B439+C445*C439+D439</f>
        <v>0.88666666666666272</v>
      </c>
      <c r="E445" s="6">
        <f t="shared" si="318"/>
        <v>1</v>
      </c>
      <c r="F445" s="6">
        <f>$F$10</f>
        <v>-1</v>
      </c>
      <c r="G445" s="20" t="str">
        <f t="shared" si="319"/>
        <v>A</v>
      </c>
      <c r="H445" s="20" t="str">
        <f t="shared" si="320"/>
        <v>B</v>
      </c>
      <c r="I445" s="8">
        <f t="shared" si="314"/>
        <v>-2</v>
      </c>
      <c r="J445" s="8">
        <f t="shared" si="315"/>
        <v>-0.04</v>
      </c>
      <c r="K445" s="9">
        <f t="shared" si="316"/>
        <v>-0.04</v>
      </c>
    </row>
    <row r="446" spans="1:11" x14ac:dyDescent="0.25">
      <c r="A446" s="5">
        <v>4</v>
      </c>
      <c r="B446" s="6">
        <f t="shared" ref="B446:C446" si="322">B431</f>
        <v>2</v>
      </c>
      <c r="C446" s="6">
        <f t="shared" si="322"/>
        <v>3</v>
      </c>
      <c r="D446" s="8">
        <f>B446*B439+C446*C439+D439</f>
        <v>1.4066666666666614</v>
      </c>
      <c r="E446" s="6">
        <f t="shared" si="318"/>
        <v>1</v>
      </c>
      <c r="F446" s="6">
        <f>$F$11</f>
        <v>1</v>
      </c>
      <c r="G446" s="20" t="str">
        <f t="shared" si="319"/>
        <v>A</v>
      </c>
      <c r="H446" s="20" t="str">
        <f t="shared" si="320"/>
        <v>A</v>
      </c>
      <c r="I446" s="8">
        <f t="shared" si="314"/>
        <v>0</v>
      </c>
      <c r="J446" s="8">
        <f t="shared" si="315"/>
        <v>0</v>
      </c>
      <c r="K446" s="9">
        <f t="shared" si="316"/>
        <v>0</v>
      </c>
    </row>
    <row r="447" spans="1:11" x14ac:dyDescent="0.25">
      <c r="A447" s="5">
        <v>5</v>
      </c>
      <c r="B447" s="6">
        <f t="shared" ref="B447:C447" si="323">B432</f>
        <v>5</v>
      </c>
      <c r="C447" s="6">
        <f t="shared" si="323"/>
        <v>3</v>
      </c>
      <c r="D447" s="8">
        <f>B447*B439+C447*C439+D439</f>
        <v>2.6766666666666596</v>
      </c>
      <c r="E447" s="6">
        <f t="shared" si="318"/>
        <v>1</v>
      </c>
      <c r="F447" s="6">
        <f>$F$12</f>
        <v>1</v>
      </c>
      <c r="G447" s="20" t="str">
        <f t="shared" si="319"/>
        <v>A</v>
      </c>
      <c r="H447" s="20" t="str">
        <f t="shared" si="320"/>
        <v>A</v>
      </c>
      <c r="I447" s="8">
        <f t="shared" si="314"/>
        <v>0</v>
      </c>
      <c r="J447" s="8">
        <f t="shared" si="315"/>
        <v>0</v>
      </c>
      <c r="K447" s="9">
        <f t="shared" si="316"/>
        <v>0</v>
      </c>
    </row>
    <row r="448" spans="1:11" x14ac:dyDescent="0.25">
      <c r="A448" s="5">
        <v>6</v>
      </c>
      <c r="B448" s="6">
        <f t="shared" ref="B448:C448" si="324">B433</f>
        <v>3</v>
      </c>
      <c r="C448" s="6">
        <f t="shared" si="324"/>
        <v>2</v>
      </c>
      <c r="D448" s="8">
        <f>B448*B439+C448*C439+D439</f>
        <v>1.3099999999999956</v>
      </c>
      <c r="E448" s="6">
        <f t="shared" si="318"/>
        <v>1</v>
      </c>
      <c r="F448" s="6">
        <f>$F$13</f>
        <v>-1</v>
      </c>
      <c r="G448" s="20" t="str">
        <f t="shared" si="319"/>
        <v>A</v>
      </c>
      <c r="H448" s="20" t="str">
        <f t="shared" si="320"/>
        <v>B</v>
      </c>
      <c r="I448" s="8">
        <f t="shared" si="314"/>
        <v>-2</v>
      </c>
      <c r="J448" s="8">
        <f t="shared" si="315"/>
        <v>-0.06</v>
      </c>
      <c r="K448" s="9">
        <f t="shared" si="316"/>
        <v>-0.04</v>
      </c>
    </row>
    <row r="449" spans="1:11" x14ac:dyDescent="0.25">
      <c r="A449" s="5"/>
      <c r="B449" s="6"/>
      <c r="C449" s="6"/>
      <c r="D449" s="6"/>
      <c r="E449" s="6"/>
      <c r="F449" s="6"/>
      <c r="G449" s="20" t="s">
        <v>8</v>
      </c>
      <c r="H449" s="20"/>
      <c r="I449" s="8">
        <f>SUM(I443:I448)</f>
        <v>-4</v>
      </c>
      <c r="J449" s="8">
        <f>AVERAGE(J443:J448)</f>
        <v>-1.6666666666666666E-2</v>
      </c>
      <c r="K449" s="9">
        <f>AVERAGE(K443:K448)</f>
        <v>-1.3333333333333334E-2</v>
      </c>
    </row>
    <row r="450" spans="1:11" x14ac:dyDescent="0.25">
      <c r="A450" s="5"/>
      <c r="B450" s="6"/>
      <c r="C450" s="6"/>
      <c r="D450" s="6"/>
      <c r="E450" s="6"/>
      <c r="F450" s="6"/>
      <c r="G450" s="20" t="s">
        <v>9</v>
      </c>
      <c r="H450" s="20"/>
      <c r="I450" s="8">
        <f>SUMSQ(I443:I448)</f>
        <v>8</v>
      </c>
      <c r="J450" s="10"/>
      <c r="K450" s="15"/>
    </row>
    <row r="451" spans="1:11" x14ac:dyDescent="0.25">
      <c r="A451" s="11"/>
      <c r="B451" s="12"/>
      <c r="C451" s="12"/>
      <c r="D451" s="12"/>
      <c r="E451" s="12"/>
      <c r="F451" s="12"/>
      <c r="G451" s="21"/>
      <c r="H451" s="21"/>
      <c r="I451" s="18"/>
      <c r="J451" s="13"/>
      <c r="K451" s="16"/>
    </row>
    <row r="452" spans="1:11" x14ac:dyDescent="0.25">
      <c r="A452" s="2" t="s">
        <v>13</v>
      </c>
      <c r="B452" s="3">
        <f>B437+1</f>
        <v>31</v>
      </c>
      <c r="C452" s="3"/>
      <c r="D452" s="3"/>
      <c r="E452" s="3"/>
      <c r="F452" s="3"/>
      <c r="G452" s="19"/>
      <c r="H452" s="19"/>
      <c r="I452" s="17"/>
      <c r="J452" s="3"/>
      <c r="K452" s="4"/>
    </row>
    <row r="453" spans="1:11" x14ac:dyDescent="0.25">
      <c r="A453" s="5"/>
      <c r="B453" s="6" t="s">
        <v>4</v>
      </c>
      <c r="C453" s="6" t="s">
        <v>5</v>
      </c>
      <c r="D453" s="6" t="s">
        <v>6</v>
      </c>
      <c r="E453" s="6"/>
      <c r="F453" s="6"/>
      <c r="G453" s="20"/>
      <c r="H453" s="20"/>
      <c r="I453" s="8"/>
      <c r="J453" s="6"/>
      <c r="K453" s="7"/>
    </row>
    <row r="454" spans="1:11" x14ac:dyDescent="0.25">
      <c r="A454" s="5">
        <v>1</v>
      </c>
      <c r="B454" s="14">
        <f>B439+J449</f>
        <v>0.40666666666666618</v>
      </c>
      <c r="C454" s="14">
        <f>C439+K449</f>
        <v>0.50666666666666527</v>
      </c>
      <c r="D454" s="6">
        <f>D439</f>
        <v>-1</v>
      </c>
      <c r="E454" s="6"/>
      <c r="F454" s="6"/>
      <c r="G454" s="20"/>
      <c r="H454" s="20"/>
      <c r="I454" s="8"/>
      <c r="J454" s="6"/>
      <c r="K454" s="7"/>
    </row>
    <row r="455" spans="1:11" x14ac:dyDescent="0.25">
      <c r="A455" s="5"/>
      <c r="B455" s="6"/>
      <c r="C455" s="6"/>
      <c r="D455" s="6"/>
      <c r="E455" s="6"/>
      <c r="F455" s="6"/>
      <c r="G455" s="20"/>
      <c r="H455" s="20"/>
      <c r="I455" s="8"/>
      <c r="J455" s="6"/>
      <c r="K455" s="7"/>
    </row>
    <row r="456" spans="1:11" x14ac:dyDescent="0.25">
      <c r="A456" s="5"/>
      <c r="B456" s="6"/>
      <c r="C456" s="6"/>
      <c r="D456" s="6"/>
      <c r="E456" s="6"/>
      <c r="F456" s="6"/>
      <c r="G456" s="20"/>
      <c r="H456" s="20"/>
      <c r="I456" s="8"/>
      <c r="J456" s="6"/>
      <c r="K456" s="7"/>
    </row>
    <row r="457" spans="1:11" x14ac:dyDescent="0.25">
      <c r="A457" s="5" t="s">
        <v>10</v>
      </c>
      <c r="B457" s="6" t="s">
        <v>2</v>
      </c>
      <c r="C457" s="6" t="s">
        <v>3</v>
      </c>
      <c r="D457" s="6" t="s">
        <v>0</v>
      </c>
      <c r="E457" s="6" t="s">
        <v>15</v>
      </c>
      <c r="F457" s="6" t="s">
        <v>1</v>
      </c>
      <c r="G457" s="20" t="s">
        <v>17</v>
      </c>
      <c r="H457" s="20" t="s">
        <v>16</v>
      </c>
      <c r="I457" s="8" t="s">
        <v>7</v>
      </c>
      <c r="J457" s="6" t="s">
        <v>11</v>
      </c>
      <c r="K457" s="7" t="s">
        <v>12</v>
      </c>
    </row>
    <row r="458" spans="1:11" x14ac:dyDescent="0.25">
      <c r="A458" s="5">
        <v>1</v>
      </c>
      <c r="B458" s="6">
        <f>B443</f>
        <v>4</v>
      </c>
      <c r="C458" s="6">
        <f>C443</f>
        <v>3</v>
      </c>
      <c r="D458" s="8">
        <f>B458*B454+C458*C454+D454</f>
        <v>2.1466666666666603</v>
      </c>
      <c r="E458" s="6">
        <f>IF(D458&gt;=0,$F$1,$E$1)</f>
        <v>1</v>
      </c>
      <c r="F458" s="6">
        <f>$F$8</f>
        <v>1</v>
      </c>
      <c r="G458" s="20" t="str">
        <f>IF(E458&gt;0,"A","B")</f>
        <v>A</v>
      </c>
      <c r="H458" s="20" t="str">
        <f>IF(F458&gt;0,"A","B")</f>
        <v>A</v>
      </c>
      <c r="I458" s="8">
        <f t="shared" ref="I458:I463" si="325">F458-E458</f>
        <v>0</v>
      </c>
      <c r="J458" s="8">
        <f t="shared" ref="J458:J463" si="326">$C$1*I458*B458</f>
        <v>0</v>
      </c>
      <c r="K458" s="9">
        <f t="shared" ref="K458:K463" si="327">$C$1*I458*C458</f>
        <v>0</v>
      </c>
    </row>
    <row r="459" spans="1:11" x14ac:dyDescent="0.25">
      <c r="A459" s="5">
        <v>2</v>
      </c>
      <c r="B459" s="6">
        <f t="shared" ref="B459:C459" si="328">B444</f>
        <v>1</v>
      </c>
      <c r="C459" s="6">
        <f t="shared" si="328"/>
        <v>1</v>
      </c>
      <c r="D459" s="8">
        <f>B459*B454+C459*C454+D454</f>
        <v>-8.6666666666668557E-2</v>
      </c>
      <c r="E459" s="6">
        <f t="shared" ref="E459:E463" si="329">IF(D459&gt;=0,$F$1,$E$1)</f>
        <v>-1</v>
      </c>
      <c r="F459" s="6">
        <f>$F$9</f>
        <v>-1</v>
      </c>
      <c r="G459" s="20" t="str">
        <f t="shared" ref="G459:G463" si="330">IF(E459&gt;0,"A","B")</f>
        <v>B</v>
      </c>
      <c r="H459" s="20" t="str">
        <f t="shared" ref="H459:H463" si="331">IF(F459&gt;0,"A","B")</f>
        <v>B</v>
      </c>
      <c r="I459" s="8">
        <f t="shared" si="325"/>
        <v>0</v>
      </c>
      <c r="J459" s="8">
        <f t="shared" si="326"/>
        <v>0</v>
      </c>
      <c r="K459" s="9">
        <f t="shared" si="327"/>
        <v>0</v>
      </c>
    </row>
    <row r="460" spans="1:11" x14ac:dyDescent="0.25">
      <c r="A460" s="5">
        <v>3</v>
      </c>
      <c r="B460" s="6">
        <f t="shared" ref="B460:C460" si="332">B445</f>
        <v>2</v>
      </c>
      <c r="C460" s="6">
        <f t="shared" si="332"/>
        <v>2</v>
      </c>
      <c r="D460" s="8">
        <f>B460*B454+C460*C454+D454</f>
        <v>0.82666666666666289</v>
      </c>
      <c r="E460" s="6">
        <f t="shared" si="329"/>
        <v>1</v>
      </c>
      <c r="F460" s="6">
        <f>$F$10</f>
        <v>-1</v>
      </c>
      <c r="G460" s="20" t="str">
        <f t="shared" si="330"/>
        <v>A</v>
      </c>
      <c r="H460" s="20" t="str">
        <f t="shared" si="331"/>
        <v>B</v>
      </c>
      <c r="I460" s="8">
        <f t="shared" si="325"/>
        <v>-2</v>
      </c>
      <c r="J460" s="8">
        <f t="shared" si="326"/>
        <v>-0.04</v>
      </c>
      <c r="K460" s="9">
        <f t="shared" si="327"/>
        <v>-0.04</v>
      </c>
    </row>
    <row r="461" spans="1:11" x14ac:dyDescent="0.25">
      <c r="A461" s="5">
        <v>4</v>
      </c>
      <c r="B461" s="6">
        <f t="shared" ref="B461:C461" si="333">B446</f>
        <v>2</v>
      </c>
      <c r="C461" s="6">
        <f t="shared" si="333"/>
        <v>3</v>
      </c>
      <c r="D461" s="8">
        <f>B461*B454+C461*C454+D454</f>
        <v>1.3333333333333282</v>
      </c>
      <c r="E461" s="6">
        <f t="shared" si="329"/>
        <v>1</v>
      </c>
      <c r="F461" s="6">
        <f>$F$11</f>
        <v>1</v>
      </c>
      <c r="G461" s="20" t="str">
        <f t="shared" si="330"/>
        <v>A</v>
      </c>
      <c r="H461" s="20" t="str">
        <f t="shared" si="331"/>
        <v>A</v>
      </c>
      <c r="I461" s="8">
        <f t="shared" si="325"/>
        <v>0</v>
      </c>
      <c r="J461" s="8">
        <f t="shared" si="326"/>
        <v>0</v>
      </c>
      <c r="K461" s="9">
        <f t="shared" si="327"/>
        <v>0</v>
      </c>
    </row>
    <row r="462" spans="1:11" x14ac:dyDescent="0.25">
      <c r="A462" s="5">
        <v>5</v>
      </c>
      <c r="B462" s="6">
        <f t="shared" ref="B462:C462" si="334">B447</f>
        <v>5</v>
      </c>
      <c r="C462" s="6">
        <f t="shared" si="334"/>
        <v>3</v>
      </c>
      <c r="D462" s="8">
        <f>B462*B454+C462*C454+D454</f>
        <v>2.5533333333333266</v>
      </c>
      <c r="E462" s="6">
        <f t="shared" si="329"/>
        <v>1</v>
      </c>
      <c r="F462" s="6">
        <f>$F$12</f>
        <v>1</v>
      </c>
      <c r="G462" s="20" t="str">
        <f t="shared" si="330"/>
        <v>A</v>
      </c>
      <c r="H462" s="20" t="str">
        <f t="shared" si="331"/>
        <v>A</v>
      </c>
      <c r="I462" s="8">
        <f t="shared" si="325"/>
        <v>0</v>
      </c>
      <c r="J462" s="8">
        <f t="shared" si="326"/>
        <v>0</v>
      </c>
      <c r="K462" s="9">
        <f t="shared" si="327"/>
        <v>0</v>
      </c>
    </row>
    <row r="463" spans="1:11" x14ac:dyDescent="0.25">
      <c r="A463" s="5">
        <v>6</v>
      </c>
      <c r="B463" s="6">
        <f t="shared" ref="B463:C463" si="335">B448</f>
        <v>3</v>
      </c>
      <c r="C463" s="6">
        <f t="shared" si="335"/>
        <v>2</v>
      </c>
      <c r="D463" s="8">
        <f>B463*B454+C463*C454+D454</f>
        <v>1.233333333333329</v>
      </c>
      <c r="E463" s="6">
        <f t="shared" si="329"/>
        <v>1</v>
      </c>
      <c r="F463" s="6">
        <f>$F$13</f>
        <v>-1</v>
      </c>
      <c r="G463" s="20" t="str">
        <f t="shared" si="330"/>
        <v>A</v>
      </c>
      <c r="H463" s="20" t="str">
        <f t="shared" si="331"/>
        <v>B</v>
      </c>
      <c r="I463" s="8">
        <f t="shared" si="325"/>
        <v>-2</v>
      </c>
      <c r="J463" s="8">
        <f t="shared" si="326"/>
        <v>-0.06</v>
      </c>
      <c r="K463" s="9">
        <f t="shared" si="327"/>
        <v>-0.04</v>
      </c>
    </row>
    <row r="464" spans="1:11" x14ac:dyDescent="0.25">
      <c r="A464" s="5"/>
      <c r="B464" s="6"/>
      <c r="C464" s="6"/>
      <c r="D464" s="6"/>
      <c r="E464" s="6"/>
      <c r="F464" s="6"/>
      <c r="G464" s="20" t="s">
        <v>8</v>
      </c>
      <c r="H464" s="20"/>
      <c r="I464" s="8">
        <f>SUM(I458:I463)</f>
        <v>-4</v>
      </c>
      <c r="J464" s="8">
        <f>AVERAGE(J458:J463)</f>
        <v>-1.6666666666666666E-2</v>
      </c>
      <c r="K464" s="9">
        <f>AVERAGE(K458:K463)</f>
        <v>-1.3333333333333334E-2</v>
      </c>
    </row>
    <row r="465" spans="1:11" x14ac:dyDescent="0.25">
      <c r="A465" s="5"/>
      <c r="B465" s="6"/>
      <c r="C465" s="6"/>
      <c r="D465" s="6"/>
      <c r="E465" s="6"/>
      <c r="F465" s="6"/>
      <c r="G465" s="20" t="s">
        <v>9</v>
      </c>
      <c r="H465" s="20"/>
      <c r="I465" s="8">
        <f>SUMSQ(I458:I463)</f>
        <v>8</v>
      </c>
      <c r="J465" s="10"/>
      <c r="K465" s="15"/>
    </row>
    <row r="466" spans="1:11" x14ac:dyDescent="0.25">
      <c r="A466" s="11"/>
      <c r="B466" s="12"/>
      <c r="C466" s="12"/>
      <c r="D466" s="12"/>
      <c r="E466" s="12"/>
      <c r="F466" s="12"/>
      <c r="G466" s="21"/>
      <c r="H466" s="21"/>
      <c r="I466" s="18"/>
      <c r="J466" s="13"/>
      <c r="K466" s="16"/>
    </row>
    <row r="467" spans="1:11" x14ac:dyDescent="0.25">
      <c r="A467" s="2" t="s">
        <v>13</v>
      </c>
      <c r="B467" s="3">
        <f>B452+1</f>
        <v>32</v>
      </c>
      <c r="C467" s="3"/>
      <c r="D467" s="3"/>
      <c r="E467" s="3"/>
      <c r="F467" s="3"/>
      <c r="G467" s="19"/>
      <c r="H467" s="19"/>
      <c r="I467" s="17"/>
      <c r="J467" s="3"/>
      <c r="K467" s="4"/>
    </row>
    <row r="468" spans="1:11" x14ac:dyDescent="0.25">
      <c r="A468" s="5"/>
      <c r="B468" s="6" t="s">
        <v>4</v>
      </c>
      <c r="C468" s="6" t="s">
        <v>5</v>
      </c>
      <c r="D468" s="6" t="s">
        <v>6</v>
      </c>
      <c r="E468" s="6"/>
      <c r="F468" s="6"/>
      <c r="G468" s="20"/>
      <c r="H468" s="20"/>
      <c r="I468" s="8"/>
      <c r="J468" s="6"/>
      <c r="K468" s="7"/>
    </row>
    <row r="469" spans="1:11" x14ac:dyDescent="0.25">
      <c r="A469" s="5">
        <v>1</v>
      </c>
      <c r="B469" s="14">
        <f>B454+J464</f>
        <v>0.38999999999999951</v>
      </c>
      <c r="C469" s="14">
        <f>C454+K464</f>
        <v>0.49333333333333196</v>
      </c>
      <c r="D469" s="6">
        <f>D454</f>
        <v>-1</v>
      </c>
      <c r="E469" s="6"/>
      <c r="F469" s="6"/>
      <c r="G469" s="20"/>
      <c r="H469" s="20"/>
      <c r="I469" s="8"/>
      <c r="J469" s="6"/>
      <c r="K469" s="7"/>
    </row>
    <row r="470" spans="1:11" x14ac:dyDescent="0.25">
      <c r="A470" s="5"/>
      <c r="B470" s="6"/>
      <c r="C470" s="6"/>
      <c r="D470" s="6"/>
      <c r="E470" s="6"/>
      <c r="F470" s="6"/>
      <c r="G470" s="20"/>
      <c r="H470" s="20"/>
      <c r="I470" s="8"/>
      <c r="J470" s="6"/>
      <c r="K470" s="7"/>
    </row>
    <row r="471" spans="1:11" x14ac:dyDescent="0.25">
      <c r="A471" s="5"/>
      <c r="B471" s="6"/>
      <c r="C471" s="6"/>
      <c r="D471" s="6"/>
      <c r="E471" s="6"/>
      <c r="F471" s="6"/>
      <c r="G471" s="20"/>
      <c r="H471" s="20"/>
      <c r="I471" s="8"/>
      <c r="J471" s="6"/>
      <c r="K471" s="7"/>
    </row>
    <row r="472" spans="1:11" x14ac:dyDescent="0.25">
      <c r="A472" s="5" t="s">
        <v>10</v>
      </c>
      <c r="B472" s="6" t="s">
        <v>2</v>
      </c>
      <c r="C472" s="6" t="s">
        <v>3</v>
      </c>
      <c r="D472" s="6" t="s">
        <v>0</v>
      </c>
      <c r="E472" s="6" t="s">
        <v>15</v>
      </c>
      <c r="F472" s="6" t="s">
        <v>1</v>
      </c>
      <c r="G472" s="20" t="s">
        <v>17</v>
      </c>
      <c r="H472" s="20" t="s">
        <v>16</v>
      </c>
      <c r="I472" s="8" t="s">
        <v>7</v>
      </c>
      <c r="J472" s="6" t="s">
        <v>11</v>
      </c>
      <c r="K472" s="7" t="s">
        <v>12</v>
      </c>
    </row>
    <row r="473" spans="1:11" x14ac:dyDescent="0.25">
      <c r="A473" s="5">
        <v>1</v>
      </c>
      <c r="B473" s="6">
        <f>B458</f>
        <v>4</v>
      </c>
      <c r="C473" s="6">
        <f>C458</f>
        <v>3</v>
      </c>
      <c r="D473" s="8">
        <f>B473*B469+C473*C469+D469</f>
        <v>2.0399999999999938</v>
      </c>
      <c r="E473" s="6">
        <f>IF(D473&gt;=0,$F$1,$E$1)</f>
        <v>1</v>
      </c>
      <c r="F473" s="6">
        <f>$F$8</f>
        <v>1</v>
      </c>
      <c r="G473" s="20" t="str">
        <f>IF(E473&gt;0,"A","B")</f>
        <v>A</v>
      </c>
      <c r="H473" s="20" t="str">
        <f>IF(F473&gt;0,"A","B")</f>
        <v>A</v>
      </c>
      <c r="I473" s="8">
        <f t="shared" ref="I473:I478" si="336">F473-E473</f>
        <v>0</v>
      </c>
      <c r="J473" s="8">
        <f t="shared" ref="J473:J478" si="337">$C$1*I473*B473</f>
        <v>0</v>
      </c>
      <c r="K473" s="9">
        <f t="shared" ref="K473:K478" si="338">$C$1*I473*C473</f>
        <v>0</v>
      </c>
    </row>
    <row r="474" spans="1:11" x14ac:dyDescent="0.25">
      <c r="A474" s="5">
        <v>2</v>
      </c>
      <c r="B474" s="6">
        <f t="shared" ref="B474:C474" si="339">B459</f>
        <v>1</v>
      </c>
      <c r="C474" s="6">
        <f t="shared" si="339"/>
        <v>1</v>
      </c>
      <c r="D474" s="8">
        <f>B474*B469+C474*C469+D469</f>
        <v>-0.11666666666666847</v>
      </c>
      <c r="E474" s="6">
        <f t="shared" ref="E474:E478" si="340">IF(D474&gt;=0,$F$1,$E$1)</f>
        <v>-1</v>
      </c>
      <c r="F474" s="6">
        <f>$F$9</f>
        <v>-1</v>
      </c>
      <c r="G474" s="20" t="str">
        <f t="shared" ref="G474:G478" si="341">IF(E474&gt;0,"A","B")</f>
        <v>B</v>
      </c>
      <c r="H474" s="20" t="str">
        <f t="shared" ref="H474:H478" si="342">IF(F474&gt;0,"A","B")</f>
        <v>B</v>
      </c>
      <c r="I474" s="8">
        <f t="shared" si="336"/>
        <v>0</v>
      </c>
      <c r="J474" s="8">
        <f t="shared" si="337"/>
        <v>0</v>
      </c>
      <c r="K474" s="9">
        <f t="shared" si="338"/>
        <v>0</v>
      </c>
    </row>
    <row r="475" spans="1:11" x14ac:dyDescent="0.25">
      <c r="A475" s="5">
        <v>3</v>
      </c>
      <c r="B475" s="6">
        <f t="shared" ref="B475:C475" si="343">B460</f>
        <v>2</v>
      </c>
      <c r="C475" s="6">
        <f t="shared" si="343"/>
        <v>2</v>
      </c>
      <c r="D475" s="8">
        <f>B475*B469+C475*C469+D469</f>
        <v>0.76666666666666305</v>
      </c>
      <c r="E475" s="6">
        <f t="shared" si="340"/>
        <v>1</v>
      </c>
      <c r="F475" s="6">
        <f>$F$10</f>
        <v>-1</v>
      </c>
      <c r="G475" s="20" t="str">
        <f t="shared" si="341"/>
        <v>A</v>
      </c>
      <c r="H475" s="20" t="str">
        <f t="shared" si="342"/>
        <v>B</v>
      </c>
      <c r="I475" s="8">
        <f t="shared" si="336"/>
        <v>-2</v>
      </c>
      <c r="J475" s="8">
        <f t="shared" si="337"/>
        <v>-0.04</v>
      </c>
      <c r="K475" s="9">
        <f t="shared" si="338"/>
        <v>-0.04</v>
      </c>
    </row>
    <row r="476" spans="1:11" x14ac:dyDescent="0.25">
      <c r="A476" s="5">
        <v>4</v>
      </c>
      <c r="B476" s="6">
        <f t="shared" ref="B476:C476" si="344">B461</f>
        <v>2</v>
      </c>
      <c r="C476" s="6">
        <f t="shared" si="344"/>
        <v>3</v>
      </c>
      <c r="D476" s="8">
        <f>B476*B469+C476*C469+D469</f>
        <v>1.2599999999999949</v>
      </c>
      <c r="E476" s="6">
        <f t="shared" si="340"/>
        <v>1</v>
      </c>
      <c r="F476" s="6">
        <f>$F$11</f>
        <v>1</v>
      </c>
      <c r="G476" s="20" t="str">
        <f t="shared" si="341"/>
        <v>A</v>
      </c>
      <c r="H476" s="20" t="str">
        <f t="shared" si="342"/>
        <v>A</v>
      </c>
      <c r="I476" s="8">
        <f t="shared" si="336"/>
        <v>0</v>
      </c>
      <c r="J476" s="8">
        <f t="shared" si="337"/>
        <v>0</v>
      </c>
      <c r="K476" s="9">
        <f t="shared" si="338"/>
        <v>0</v>
      </c>
    </row>
    <row r="477" spans="1:11" x14ac:dyDescent="0.25">
      <c r="A477" s="5">
        <v>5</v>
      </c>
      <c r="B477" s="6">
        <f t="shared" ref="B477:C477" si="345">B462</f>
        <v>5</v>
      </c>
      <c r="C477" s="6">
        <f t="shared" si="345"/>
        <v>3</v>
      </c>
      <c r="D477" s="8">
        <f>B477*B469+C477*C469+D469</f>
        <v>2.4299999999999935</v>
      </c>
      <c r="E477" s="6">
        <f t="shared" si="340"/>
        <v>1</v>
      </c>
      <c r="F477" s="6">
        <f>$F$12</f>
        <v>1</v>
      </c>
      <c r="G477" s="20" t="str">
        <f t="shared" si="341"/>
        <v>A</v>
      </c>
      <c r="H477" s="20" t="str">
        <f t="shared" si="342"/>
        <v>A</v>
      </c>
      <c r="I477" s="8">
        <f t="shared" si="336"/>
        <v>0</v>
      </c>
      <c r="J477" s="8">
        <f t="shared" si="337"/>
        <v>0</v>
      </c>
      <c r="K477" s="9">
        <f t="shared" si="338"/>
        <v>0</v>
      </c>
    </row>
    <row r="478" spans="1:11" x14ac:dyDescent="0.25">
      <c r="A478" s="5">
        <v>6</v>
      </c>
      <c r="B478" s="6">
        <f t="shared" ref="B478:C478" si="346">B463</f>
        <v>3</v>
      </c>
      <c r="C478" s="6">
        <f t="shared" si="346"/>
        <v>2</v>
      </c>
      <c r="D478" s="8">
        <f>B478*B469+C478*C469+D469</f>
        <v>1.1566666666666627</v>
      </c>
      <c r="E478" s="6">
        <f t="shared" si="340"/>
        <v>1</v>
      </c>
      <c r="F478" s="6">
        <f>$F$13</f>
        <v>-1</v>
      </c>
      <c r="G478" s="20" t="str">
        <f t="shared" si="341"/>
        <v>A</v>
      </c>
      <c r="H478" s="20" t="str">
        <f t="shared" si="342"/>
        <v>B</v>
      </c>
      <c r="I478" s="8">
        <f t="shared" si="336"/>
        <v>-2</v>
      </c>
      <c r="J478" s="8">
        <f t="shared" si="337"/>
        <v>-0.06</v>
      </c>
      <c r="K478" s="9">
        <f t="shared" si="338"/>
        <v>-0.04</v>
      </c>
    </row>
    <row r="479" spans="1:11" x14ac:dyDescent="0.25">
      <c r="A479" s="5"/>
      <c r="B479" s="6"/>
      <c r="C479" s="6"/>
      <c r="D479" s="6"/>
      <c r="E479" s="6"/>
      <c r="F479" s="6"/>
      <c r="G479" s="20" t="s">
        <v>8</v>
      </c>
      <c r="H479" s="20"/>
      <c r="I479" s="8">
        <f>SUM(I473:I478)</f>
        <v>-4</v>
      </c>
      <c r="J479" s="8">
        <f>AVERAGE(J473:J478)</f>
        <v>-1.6666666666666666E-2</v>
      </c>
      <c r="K479" s="9">
        <f>AVERAGE(K473:K478)</f>
        <v>-1.3333333333333334E-2</v>
      </c>
    </row>
    <row r="480" spans="1:11" x14ac:dyDescent="0.25">
      <c r="A480" s="5"/>
      <c r="B480" s="6"/>
      <c r="C480" s="6"/>
      <c r="D480" s="6"/>
      <c r="E480" s="6"/>
      <c r="F480" s="6"/>
      <c r="G480" s="20" t="s">
        <v>9</v>
      </c>
      <c r="H480" s="20"/>
      <c r="I480" s="8">
        <f>SUMSQ(I473:I478)</f>
        <v>8</v>
      </c>
      <c r="J480" s="10"/>
      <c r="K480" s="15"/>
    </row>
    <row r="481" spans="1:11" x14ac:dyDescent="0.25">
      <c r="A481" s="11"/>
      <c r="B481" s="12"/>
      <c r="C481" s="12"/>
      <c r="D481" s="12"/>
      <c r="E481" s="12"/>
      <c r="F481" s="12"/>
      <c r="G481" s="21"/>
      <c r="H481" s="21"/>
      <c r="I481" s="18"/>
      <c r="J481" s="13"/>
      <c r="K481" s="16"/>
    </row>
    <row r="482" spans="1:11" x14ac:dyDescent="0.25">
      <c r="A482" s="2" t="s">
        <v>13</v>
      </c>
      <c r="B482" s="3">
        <f>B467+1</f>
        <v>33</v>
      </c>
      <c r="C482" s="3"/>
      <c r="D482" s="3"/>
      <c r="E482" s="3"/>
      <c r="F482" s="3"/>
      <c r="G482" s="19"/>
      <c r="H482" s="19"/>
      <c r="I482" s="17"/>
      <c r="J482" s="3"/>
      <c r="K482" s="4"/>
    </row>
    <row r="483" spans="1:11" x14ac:dyDescent="0.25">
      <c r="A483" s="5"/>
      <c r="B483" s="6" t="s">
        <v>4</v>
      </c>
      <c r="C483" s="6" t="s">
        <v>5</v>
      </c>
      <c r="D483" s="6" t="s">
        <v>6</v>
      </c>
      <c r="E483" s="6"/>
      <c r="F483" s="6"/>
      <c r="G483" s="20"/>
      <c r="H483" s="20"/>
      <c r="I483" s="8"/>
      <c r="J483" s="6"/>
      <c r="K483" s="7"/>
    </row>
    <row r="484" spans="1:11" x14ac:dyDescent="0.25">
      <c r="A484" s="5">
        <v>1</v>
      </c>
      <c r="B484" s="14">
        <f>B469+J479</f>
        <v>0.37333333333333285</v>
      </c>
      <c r="C484" s="14">
        <f>C469+K479</f>
        <v>0.47999999999999865</v>
      </c>
      <c r="D484" s="6">
        <f>D469</f>
        <v>-1</v>
      </c>
      <c r="E484" s="6"/>
      <c r="F484" s="6"/>
      <c r="G484" s="20"/>
      <c r="H484" s="20"/>
      <c r="I484" s="8"/>
      <c r="J484" s="6"/>
      <c r="K484" s="7"/>
    </row>
    <row r="485" spans="1:11" x14ac:dyDescent="0.25">
      <c r="A485" s="5"/>
      <c r="B485" s="6"/>
      <c r="C485" s="6"/>
      <c r="D485" s="6"/>
      <c r="E485" s="6"/>
      <c r="F485" s="6"/>
      <c r="G485" s="20"/>
      <c r="H485" s="20"/>
      <c r="I485" s="8"/>
      <c r="J485" s="6"/>
      <c r="K485" s="7"/>
    </row>
    <row r="486" spans="1:11" x14ac:dyDescent="0.25">
      <c r="A486" s="5"/>
      <c r="B486" s="6"/>
      <c r="C486" s="6"/>
      <c r="D486" s="6"/>
      <c r="E486" s="6"/>
      <c r="F486" s="6"/>
      <c r="G486" s="20"/>
      <c r="H486" s="20"/>
      <c r="I486" s="8"/>
      <c r="J486" s="6"/>
      <c r="K486" s="7"/>
    </row>
    <row r="487" spans="1:11" x14ac:dyDescent="0.25">
      <c r="A487" s="5" t="s">
        <v>10</v>
      </c>
      <c r="B487" s="6" t="s">
        <v>2</v>
      </c>
      <c r="C487" s="6" t="s">
        <v>3</v>
      </c>
      <c r="D487" s="6" t="s">
        <v>0</v>
      </c>
      <c r="E487" s="6" t="s">
        <v>15</v>
      </c>
      <c r="F487" s="6" t="s">
        <v>1</v>
      </c>
      <c r="G487" s="20" t="s">
        <v>17</v>
      </c>
      <c r="H487" s="20" t="s">
        <v>16</v>
      </c>
      <c r="I487" s="8" t="s">
        <v>7</v>
      </c>
      <c r="J487" s="6" t="s">
        <v>11</v>
      </c>
      <c r="K487" s="7" t="s">
        <v>12</v>
      </c>
    </row>
    <row r="488" spans="1:11" x14ac:dyDescent="0.25">
      <c r="A488" s="5">
        <v>1</v>
      </c>
      <c r="B488" s="6">
        <f>B473</f>
        <v>4</v>
      </c>
      <c r="C488" s="6">
        <f>C473</f>
        <v>3</v>
      </c>
      <c r="D488" s="8">
        <f>B488*B484+C488*C484+D484</f>
        <v>1.9333333333333274</v>
      </c>
      <c r="E488" s="6">
        <f>IF(D488&gt;=0,$F$1,$E$1)</f>
        <v>1</v>
      </c>
      <c r="F488" s="6">
        <f>$F$8</f>
        <v>1</v>
      </c>
      <c r="G488" s="20" t="str">
        <f>IF(E488&gt;0,"A","B")</f>
        <v>A</v>
      </c>
      <c r="H488" s="20" t="str">
        <f>IF(F488&gt;0,"A","B")</f>
        <v>A</v>
      </c>
      <c r="I488" s="8">
        <f t="shared" ref="I488:I493" si="347">F488-E488</f>
        <v>0</v>
      </c>
      <c r="J488" s="8">
        <f t="shared" ref="J488:J493" si="348">$C$1*I488*B488</f>
        <v>0</v>
      </c>
      <c r="K488" s="9">
        <f t="shared" ref="K488:K493" si="349">$C$1*I488*C488</f>
        <v>0</v>
      </c>
    </row>
    <row r="489" spans="1:11" x14ac:dyDescent="0.25">
      <c r="A489" s="5">
        <v>2</v>
      </c>
      <c r="B489" s="6">
        <f t="shared" ref="B489:C489" si="350">B474</f>
        <v>1</v>
      </c>
      <c r="C489" s="6">
        <f t="shared" si="350"/>
        <v>1</v>
      </c>
      <c r="D489" s="8">
        <f>B489*B484+C489*C484+D484</f>
        <v>-0.1466666666666685</v>
      </c>
      <c r="E489" s="6">
        <f t="shared" ref="E489:E493" si="351">IF(D489&gt;=0,$F$1,$E$1)</f>
        <v>-1</v>
      </c>
      <c r="F489" s="6">
        <f>$F$9</f>
        <v>-1</v>
      </c>
      <c r="G489" s="20" t="str">
        <f t="shared" ref="G489:G493" si="352">IF(E489&gt;0,"A","B")</f>
        <v>B</v>
      </c>
      <c r="H489" s="20" t="str">
        <f t="shared" ref="H489:H493" si="353">IF(F489&gt;0,"A","B")</f>
        <v>B</v>
      </c>
      <c r="I489" s="8">
        <f t="shared" si="347"/>
        <v>0</v>
      </c>
      <c r="J489" s="8">
        <f t="shared" si="348"/>
        <v>0</v>
      </c>
      <c r="K489" s="9">
        <f t="shared" si="349"/>
        <v>0</v>
      </c>
    </row>
    <row r="490" spans="1:11" x14ac:dyDescent="0.25">
      <c r="A490" s="5">
        <v>3</v>
      </c>
      <c r="B490" s="6">
        <f t="shared" ref="B490:C490" si="354">B475</f>
        <v>2</v>
      </c>
      <c r="C490" s="6">
        <f t="shared" si="354"/>
        <v>2</v>
      </c>
      <c r="D490" s="8">
        <f>B490*B484+C490*C484+D484</f>
        <v>0.706666666666663</v>
      </c>
      <c r="E490" s="6">
        <f t="shared" si="351"/>
        <v>1</v>
      </c>
      <c r="F490" s="6">
        <f>$F$10</f>
        <v>-1</v>
      </c>
      <c r="G490" s="20" t="str">
        <f t="shared" si="352"/>
        <v>A</v>
      </c>
      <c r="H490" s="20" t="str">
        <f t="shared" si="353"/>
        <v>B</v>
      </c>
      <c r="I490" s="8">
        <f t="shared" si="347"/>
        <v>-2</v>
      </c>
      <c r="J490" s="8">
        <f t="shared" si="348"/>
        <v>-0.04</v>
      </c>
      <c r="K490" s="9">
        <f t="shared" si="349"/>
        <v>-0.04</v>
      </c>
    </row>
    <row r="491" spans="1:11" x14ac:dyDescent="0.25">
      <c r="A491" s="5">
        <v>4</v>
      </c>
      <c r="B491" s="6">
        <f t="shared" ref="B491:C491" si="355">B476</f>
        <v>2</v>
      </c>
      <c r="C491" s="6">
        <f t="shared" si="355"/>
        <v>3</v>
      </c>
      <c r="D491" s="8">
        <f>B491*B484+C491*C484+D484</f>
        <v>1.1866666666666617</v>
      </c>
      <c r="E491" s="6">
        <f t="shared" si="351"/>
        <v>1</v>
      </c>
      <c r="F491" s="6">
        <f>$F$11</f>
        <v>1</v>
      </c>
      <c r="G491" s="20" t="str">
        <f t="shared" si="352"/>
        <v>A</v>
      </c>
      <c r="H491" s="20" t="str">
        <f t="shared" si="353"/>
        <v>A</v>
      </c>
      <c r="I491" s="8">
        <f t="shared" si="347"/>
        <v>0</v>
      </c>
      <c r="J491" s="8">
        <f t="shared" si="348"/>
        <v>0</v>
      </c>
      <c r="K491" s="9">
        <f t="shared" si="349"/>
        <v>0</v>
      </c>
    </row>
    <row r="492" spans="1:11" x14ac:dyDescent="0.25">
      <c r="A492" s="5">
        <v>5</v>
      </c>
      <c r="B492" s="6">
        <f t="shared" ref="B492:C492" si="356">B477</f>
        <v>5</v>
      </c>
      <c r="C492" s="6">
        <f t="shared" si="356"/>
        <v>3</v>
      </c>
      <c r="D492" s="8">
        <f>B492*B484+C492*C484+D484</f>
        <v>2.3066666666666604</v>
      </c>
      <c r="E492" s="6">
        <f t="shared" si="351"/>
        <v>1</v>
      </c>
      <c r="F492" s="6">
        <f>$F$12</f>
        <v>1</v>
      </c>
      <c r="G492" s="20" t="str">
        <f t="shared" si="352"/>
        <v>A</v>
      </c>
      <c r="H492" s="20" t="str">
        <f t="shared" si="353"/>
        <v>A</v>
      </c>
      <c r="I492" s="8">
        <f t="shared" si="347"/>
        <v>0</v>
      </c>
      <c r="J492" s="8">
        <f t="shared" si="348"/>
        <v>0</v>
      </c>
      <c r="K492" s="9">
        <f t="shared" si="349"/>
        <v>0</v>
      </c>
    </row>
    <row r="493" spans="1:11" x14ac:dyDescent="0.25">
      <c r="A493" s="5">
        <v>6</v>
      </c>
      <c r="B493" s="6">
        <f t="shared" ref="B493:C493" si="357">B478</f>
        <v>3</v>
      </c>
      <c r="C493" s="6">
        <f t="shared" si="357"/>
        <v>2</v>
      </c>
      <c r="D493" s="8">
        <f>B493*B484+C493*C484+D484</f>
        <v>1.0799999999999956</v>
      </c>
      <c r="E493" s="6">
        <f t="shared" si="351"/>
        <v>1</v>
      </c>
      <c r="F493" s="6">
        <f>$F$13</f>
        <v>-1</v>
      </c>
      <c r="G493" s="20" t="str">
        <f t="shared" si="352"/>
        <v>A</v>
      </c>
      <c r="H493" s="20" t="str">
        <f t="shared" si="353"/>
        <v>B</v>
      </c>
      <c r="I493" s="8">
        <f t="shared" si="347"/>
        <v>-2</v>
      </c>
      <c r="J493" s="8">
        <f t="shared" si="348"/>
        <v>-0.06</v>
      </c>
      <c r="K493" s="9">
        <f t="shared" si="349"/>
        <v>-0.04</v>
      </c>
    </row>
    <row r="494" spans="1:11" x14ac:dyDescent="0.25">
      <c r="A494" s="5"/>
      <c r="B494" s="6"/>
      <c r="C494" s="6"/>
      <c r="D494" s="6"/>
      <c r="E494" s="6"/>
      <c r="F494" s="6"/>
      <c r="G494" s="20" t="s">
        <v>8</v>
      </c>
      <c r="H494" s="20"/>
      <c r="I494" s="8">
        <f>SUM(I488:I493)</f>
        <v>-4</v>
      </c>
      <c r="J494" s="8">
        <f>AVERAGE(J488:J493)</f>
        <v>-1.6666666666666666E-2</v>
      </c>
      <c r="K494" s="9">
        <f>AVERAGE(K488:K493)</f>
        <v>-1.3333333333333334E-2</v>
      </c>
    </row>
    <row r="495" spans="1:11" x14ac:dyDescent="0.25">
      <c r="A495" s="5"/>
      <c r="B495" s="6"/>
      <c r="C495" s="6"/>
      <c r="D495" s="6"/>
      <c r="E495" s="6"/>
      <c r="F495" s="6"/>
      <c r="G495" s="20" t="s">
        <v>9</v>
      </c>
      <c r="H495" s="20"/>
      <c r="I495" s="8">
        <f>SUMSQ(I488:I493)</f>
        <v>8</v>
      </c>
      <c r="J495" s="10"/>
      <c r="K495" s="15"/>
    </row>
    <row r="496" spans="1:11" x14ac:dyDescent="0.25">
      <c r="A496" s="11"/>
      <c r="B496" s="12"/>
      <c r="C496" s="12"/>
      <c r="D496" s="12"/>
      <c r="E496" s="12"/>
      <c r="F496" s="12"/>
      <c r="G496" s="21"/>
      <c r="H496" s="21"/>
      <c r="I496" s="18"/>
      <c r="J496" s="13"/>
      <c r="K496" s="16"/>
    </row>
    <row r="497" spans="1:11" x14ac:dyDescent="0.25">
      <c r="A497" s="2" t="s">
        <v>13</v>
      </c>
      <c r="B497" s="3">
        <f>B482+1</f>
        <v>34</v>
      </c>
      <c r="C497" s="3"/>
      <c r="D497" s="3"/>
      <c r="E497" s="3"/>
      <c r="F497" s="3"/>
      <c r="G497" s="19"/>
      <c r="H497" s="19"/>
      <c r="I497" s="17"/>
      <c r="J497" s="3"/>
      <c r="K497" s="4"/>
    </row>
    <row r="498" spans="1:11" x14ac:dyDescent="0.25">
      <c r="A498" s="5"/>
      <c r="B498" s="6" t="s">
        <v>4</v>
      </c>
      <c r="C498" s="6" t="s">
        <v>5</v>
      </c>
      <c r="D498" s="6" t="s">
        <v>6</v>
      </c>
      <c r="E498" s="6"/>
      <c r="F498" s="6"/>
      <c r="G498" s="20"/>
      <c r="H498" s="20"/>
      <c r="I498" s="8"/>
      <c r="J498" s="6"/>
      <c r="K498" s="7"/>
    </row>
    <row r="499" spans="1:11" x14ac:dyDescent="0.25">
      <c r="A499" s="5">
        <v>1</v>
      </c>
      <c r="B499" s="14">
        <f>B484+J494</f>
        <v>0.35666666666666619</v>
      </c>
      <c r="C499" s="14">
        <f>C484+K494</f>
        <v>0.46666666666666534</v>
      </c>
      <c r="D499" s="6">
        <f>D484</f>
        <v>-1</v>
      </c>
      <c r="E499" s="6"/>
      <c r="F499" s="6"/>
      <c r="G499" s="20"/>
      <c r="H499" s="20"/>
      <c r="I499" s="8"/>
      <c r="J499" s="6"/>
      <c r="K499" s="7"/>
    </row>
    <row r="500" spans="1:11" x14ac:dyDescent="0.25">
      <c r="A500" s="5"/>
      <c r="B500" s="6"/>
      <c r="C500" s="6"/>
      <c r="D500" s="6"/>
      <c r="E500" s="6"/>
      <c r="F500" s="6"/>
      <c r="G500" s="20"/>
      <c r="H500" s="20"/>
      <c r="I500" s="8"/>
      <c r="J500" s="6"/>
      <c r="K500" s="7"/>
    </row>
    <row r="501" spans="1:11" x14ac:dyDescent="0.25">
      <c r="A501" s="5"/>
      <c r="B501" s="6"/>
      <c r="C501" s="6"/>
      <c r="D501" s="6"/>
      <c r="E501" s="6"/>
      <c r="F501" s="6"/>
      <c r="G501" s="20"/>
      <c r="H501" s="20"/>
      <c r="I501" s="8"/>
      <c r="J501" s="6"/>
      <c r="K501" s="7"/>
    </row>
    <row r="502" spans="1:11" x14ac:dyDescent="0.25">
      <c r="A502" s="5" t="s">
        <v>10</v>
      </c>
      <c r="B502" s="6" t="s">
        <v>2</v>
      </c>
      <c r="C502" s="6" t="s">
        <v>3</v>
      </c>
      <c r="D502" s="6" t="s">
        <v>0</v>
      </c>
      <c r="E502" s="6" t="s">
        <v>15</v>
      </c>
      <c r="F502" s="6" t="s">
        <v>1</v>
      </c>
      <c r="G502" s="20" t="s">
        <v>17</v>
      </c>
      <c r="H502" s="20" t="s">
        <v>16</v>
      </c>
      <c r="I502" s="8" t="s">
        <v>7</v>
      </c>
      <c r="J502" s="6" t="s">
        <v>11</v>
      </c>
      <c r="K502" s="7" t="s">
        <v>12</v>
      </c>
    </row>
    <row r="503" spans="1:11" x14ac:dyDescent="0.25">
      <c r="A503" s="5">
        <v>1</v>
      </c>
      <c r="B503" s="6">
        <f>B488</f>
        <v>4</v>
      </c>
      <c r="C503" s="6">
        <f>C488</f>
        <v>3</v>
      </c>
      <c r="D503" s="8">
        <f>B503*B499+C503*C499+D499</f>
        <v>1.8266666666666609</v>
      </c>
      <c r="E503" s="6">
        <f>IF(D503&gt;=0,$F$1,$E$1)</f>
        <v>1</v>
      </c>
      <c r="F503" s="6">
        <f>$F$8</f>
        <v>1</v>
      </c>
      <c r="G503" s="20" t="str">
        <f>IF(E503&gt;0,"A","B")</f>
        <v>A</v>
      </c>
      <c r="H503" s="20" t="str">
        <f>IF(F503&gt;0,"A","B")</f>
        <v>A</v>
      </c>
      <c r="I503" s="8">
        <f t="shared" ref="I503:I508" si="358">F503-E503</f>
        <v>0</v>
      </c>
      <c r="J503" s="8">
        <f t="shared" ref="J503:J508" si="359">$C$1*I503*B503</f>
        <v>0</v>
      </c>
      <c r="K503" s="9">
        <f t="shared" ref="K503:K508" si="360">$C$1*I503*C503</f>
        <v>0</v>
      </c>
    </row>
    <row r="504" spans="1:11" x14ac:dyDescent="0.25">
      <c r="A504" s="5">
        <v>2</v>
      </c>
      <c r="B504" s="6">
        <f t="shared" ref="B504:C504" si="361">B489</f>
        <v>1</v>
      </c>
      <c r="C504" s="6">
        <f t="shared" si="361"/>
        <v>1</v>
      </c>
      <c r="D504" s="8">
        <f>B504*B499+C504*C499+D499</f>
        <v>-0.17666666666666853</v>
      </c>
      <c r="E504" s="6">
        <f t="shared" ref="E504:E508" si="362">IF(D504&gt;=0,$F$1,$E$1)</f>
        <v>-1</v>
      </c>
      <c r="F504" s="6">
        <f>$F$9</f>
        <v>-1</v>
      </c>
      <c r="G504" s="20" t="str">
        <f t="shared" ref="G504:G508" si="363">IF(E504&gt;0,"A","B")</f>
        <v>B</v>
      </c>
      <c r="H504" s="20" t="str">
        <f t="shared" ref="H504:H508" si="364">IF(F504&gt;0,"A","B")</f>
        <v>B</v>
      </c>
      <c r="I504" s="8">
        <f t="shared" si="358"/>
        <v>0</v>
      </c>
      <c r="J504" s="8">
        <f t="shared" si="359"/>
        <v>0</v>
      </c>
      <c r="K504" s="9">
        <f t="shared" si="360"/>
        <v>0</v>
      </c>
    </row>
    <row r="505" spans="1:11" x14ac:dyDescent="0.25">
      <c r="A505" s="5">
        <v>3</v>
      </c>
      <c r="B505" s="6">
        <f t="shared" ref="B505:C505" si="365">B490</f>
        <v>2</v>
      </c>
      <c r="C505" s="6">
        <f t="shared" si="365"/>
        <v>2</v>
      </c>
      <c r="D505" s="8">
        <f>B505*B499+C505*C499+D499</f>
        <v>0.64666666666666295</v>
      </c>
      <c r="E505" s="6">
        <f t="shared" si="362"/>
        <v>1</v>
      </c>
      <c r="F505" s="6">
        <f>$F$10</f>
        <v>-1</v>
      </c>
      <c r="G505" s="20" t="str">
        <f t="shared" si="363"/>
        <v>A</v>
      </c>
      <c r="H505" s="20" t="str">
        <f t="shared" si="364"/>
        <v>B</v>
      </c>
      <c r="I505" s="8">
        <f t="shared" si="358"/>
        <v>-2</v>
      </c>
      <c r="J505" s="8">
        <f t="shared" si="359"/>
        <v>-0.04</v>
      </c>
      <c r="K505" s="9">
        <f t="shared" si="360"/>
        <v>-0.04</v>
      </c>
    </row>
    <row r="506" spans="1:11" x14ac:dyDescent="0.25">
      <c r="A506" s="5">
        <v>4</v>
      </c>
      <c r="B506" s="6">
        <f t="shared" ref="B506:C506" si="366">B491</f>
        <v>2</v>
      </c>
      <c r="C506" s="6">
        <f t="shared" si="366"/>
        <v>3</v>
      </c>
      <c r="D506" s="8">
        <f>B506*B499+C506*C499+D499</f>
        <v>1.1133333333333284</v>
      </c>
      <c r="E506" s="6">
        <f t="shared" si="362"/>
        <v>1</v>
      </c>
      <c r="F506" s="6">
        <f>$F$11</f>
        <v>1</v>
      </c>
      <c r="G506" s="20" t="str">
        <f t="shared" si="363"/>
        <v>A</v>
      </c>
      <c r="H506" s="20" t="str">
        <f t="shared" si="364"/>
        <v>A</v>
      </c>
      <c r="I506" s="8">
        <f t="shared" si="358"/>
        <v>0</v>
      </c>
      <c r="J506" s="8">
        <f t="shared" si="359"/>
        <v>0</v>
      </c>
      <c r="K506" s="9">
        <f t="shared" si="360"/>
        <v>0</v>
      </c>
    </row>
    <row r="507" spans="1:11" x14ac:dyDescent="0.25">
      <c r="A507" s="5">
        <v>5</v>
      </c>
      <c r="B507" s="6">
        <f t="shared" ref="B507:C507" si="367">B492</f>
        <v>5</v>
      </c>
      <c r="C507" s="6">
        <f t="shared" si="367"/>
        <v>3</v>
      </c>
      <c r="D507" s="8">
        <f>B507*B499+C507*C499+D499</f>
        <v>2.1833333333333269</v>
      </c>
      <c r="E507" s="6">
        <f t="shared" si="362"/>
        <v>1</v>
      </c>
      <c r="F507" s="6">
        <f>$F$12</f>
        <v>1</v>
      </c>
      <c r="G507" s="20" t="str">
        <f t="shared" si="363"/>
        <v>A</v>
      </c>
      <c r="H507" s="20" t="str">
        <f t="shared" si="364"/>
        <v>A</v>
      </c>
      <c r="I507" s="8">
        <f t="shared" si="358"/>
        <v>0</v>
      </c>
      <c r="J507" s="8">
        <f t="shared" si="359"/>
        <v>0</v>
      </c>
      <c r="K507" s="9">
        <f t="shared" si="360"/>
        <v>0</v>
      </c>
    </row>
    <row r="508" spans="1:11" x14ac:dyDescent="0.25">
      <c r="A508" s="5">
        <v>6</v>
      </c>
      <c r="B508" s="6">
        <f t="shared" ref="B508:C508" si="368">B493</f>
        <v>3</v>
      </c>
      <c r="C508" s="6">
        <f t="shared" si="368"/>
        <v>2</v>
      </c>
      <c r="D508" s="8">
        <f>B508*B499+C508*C499+D499</f>
        <v>1.0033333333333294</v>
      </c>
      <c r="E508" s="6">
        <f t="shared" si="362"/>
        <v>1</v>
      </c>
      <c r="F508" s="6">
        <f>$F$13</f>
        <v>-1</v>
      </c>
      <c r="G508" s="20" t="str">
        <f t="shared" si="363"/>
        <v>A</v>
      </c>
      <c r="H508" s="20" t="str">
        <f t="shared" si="364"/>
        <v>B</v>
      </c>
      <c r="I508" s="8">
        <f t="shared" si="358"/>
        <v>-2</v>
      </c>
      <c r="J508" s="8">
        <f t="shared" si="359"/>
        <v>-0.06</v>
      </c>
      <c r="K508" s="9">
        <f t="shared" si="360"/>
        <v>-0.04</v>
      </c>
    </row>
    <row r="509" spans="1:11" x14ac:dyDescent="0.25">
      <c r="A509" s="5"/>
      <c r="B509" s="6"/>
      <c r="C509" s="6"/>
      <c r="D509" s="6"/>
      <c r="E509" s="6"/>
      <c r="F509" s="6"/>
      <c r="G509" s="20" t="s">
        <v>8</v>
      </c>
      <c r="H509" s="20"/>
      <c r="I509" s="8">
        <f>SUM(I503:I508)</f>
        <v>-4</v>
      </c>
      <c r="J509" s="8">
        <f>AVERAGE(J503:J508)</f>
        <v>-1.6666666666666666E-2</v>
      </c>
      <c r="K509" s="9">
        <f>AVERAGE(K503:K508)</f>
        <v>-1.3333333333333334E-2</v>
      </c>
    </row>
    <row r="510" spans="1:11" x14ac:dyDescent="0.25">
      <c r="A510" s="5"/>
      <c r="B510" s="6"/>
      <c r="C510" s="6"/>
      <c r="D510" s="6"/>
      <c r="E510" s="6"/>
      <c r="F510" s="6"/>
      <c r="G510" s="20" t="s">
        <v>9</v>
      </c>
      <c r="H510" s="20"/>
      <c r="I510" s="8">
        <f>SUMSQ(I503:I508)</f>
        <v>8</v>
      </c>
      <c r="J510" s="10"/>
      <c r="K510" s="15"/>
    </row>
    <row r="511" spans="1:11" x14ac:dyDescent="0.25">
      <c r="A511" s="11"/>
      <c r="B511" s="12"/>
      <c r="C511" s="12"/>
      <c r="D511" s="12"/>
      <c r="E511" s="12"/>
      <c r="F511" s="12"/>
      <c r="G511" s="21"/>
      <c r="H511" s="21"/>
      <c r="I511" s="18"/>
      <c r="J511" s="13"/>
      <c r="K511" s="16"/>
    </row>
    <row r="512" spans="1:11" x14ac:dyDescent="0.25">
      <c r="A512" s="2" t="s">
        <v>13</v>
      </c>
      <c r="B512" s="3">
        <f>B497+1</f>
        <v>35</v>
      </c>
      <c r="C512" s="3"/>
      <c r="D512" s="3"/>
      <c r="E512" s="3"/>
      <c r="F512" s="3"/>
      <c r="G512" s="19"/>
      <c r="H512" s="19"/>
      <c r="I512" s="17"/>
      <c r="J512" s="3"/>
      <c r="K512" s="4"/>
    </row>
    <row r="513" spans="1:11" x14ac:dyDescent="0.25">
      <c r="A513" s="5"/>
      <c r="B513" s="6" t="s">
        <v>4</v>
      </c>
      <c r="C513" s="6" t="s">
        <v>5</v>
      </c>
      <c r="D513" s="6" t="s">
        <v>6</v>
      </c>
      <c r="E513" s="6"/>
      <c r="F513" s="6"/>
      <c r="G513" s="20"/>
      <c r="H513" s="20"/>
      <c r="I513" s="8"/>
      <c r="J513" s="6"/>
      <c r="K513" s="7"/>
    </row>
    <row r="514" spans="1:11" x14ac:dyDescent="0.25">
      <c r="A514" s="5">
        <v>1</v>
      </c>
      <c r="B514" s="14">
        <f>B499+J509</f>
        <v>0.33999999999999952</v>
      </c>
      <c r="C514" s="14">
        <f>C499+K509</f>
        <v>0.45333333333333203</v>
      </c>
      <c r="D514" s="6">
        <f>D499</f>
        <v>-1</v>
      </c>
      <c r="E514" s="6"/>
      <c r="F514" s="6"/>
      <c r="G514" s="20"/>
      <c r="H514" s="20"/>
      <c r="I514" s="8"/>
      <c r="J514" s="6"/>
      <c r="K514" s="7"/>
    </row>
    <row r="515" spans="1:11" x14ac:dyDescent="0.25">
      <c r="A515" s="5"/>
      <c r="B515" s="6"/>
      <c r="C515" s="6"/>
      <c r="D515" s="6"/>
      <c r="E515" s="6"/>
      <c r="F515" s="6"/>
      <c r="G515" s="20"/>
      <c r="H515" s="20"/>
      <c r="I515" s="8"/>
      <c r="J515" s="6"/>
      <c r="K515" s="7"/>
    </row>
    <row r="516" spans="1:11" x14ac:dyDescent="0.25">
      <c r="A516" s="5"/>
      <c r="B516" s="6"/>
      <c r="C516" s="6"/>
      <c r="D516" s="6"/>
      <c r="E516" s="6"/>
      <c r="F516" s="6"/>
      <c r="G516" s="20"/>
      <c r="H516" s="20"/>
      <c r="I516" s="8"/>
      <c r="J516" s="6"/>
      <c r="K516" s="7"/>
    </row>
    <row r="517" spans="1:11" x14ac:dyDescent="0.25">
      <c r="A517" s="5" t="s">
        <v>10</v>
      </c>
      <c r="B517" s="6" t="s">
        <v>2</v>
      </c>
      <c r="C517" s="6" t="s">
        <v>3</v>
      </c>
      <c r="D517" s="6" t="s">
        <v>0</v>
      </c>
      <c r="E517" s="6" t="s">
        <v>15</v>
      </c>
      <c r="F517" s="6" t="s">
        <v>1</v>
      </c>
      <c r="G517" s="20" t="s">
        <v>17</v>
      </c>
      <c r="H517" s="20" t="s">
        <v>16</v>
      </c>
      <c r="I517" s="8" t="s">
        <v>7</v>
      </c>
      <c r="J517" s="6" t="s">
        <v>11</v>
      </c>
      <c r="K517" s="7" t="s">
        <v>12</v>
      </c>
    </row>
    <row r="518" spans="1:11" x14ac:dyDescent="0.25">
      <c r="A518" s="5">
        <v>1</v>
      </c>
      <c r="B518" s="6">
        <f>B503</f>
        <v>4</v>
      </c>
      <c r="C518" s="6">
        <f>C503</f>
        <v>3</v>
      </c>
      <c r="D518" s="8">
        <f>B518*B514+C518*C514+D514</f>
        <v>1.7199999999999944</v>
      </c>
      <c r="E518" s="6">
        <f>IF(D518&gt;=0,$F$1,$E$1)</f>
        <v>1</v>
      </c>
      <c r="F518" s="6">
        <f>$F$8</f>
        <v>1</v>
      </c>
      <c r="G518" s="20" t="str">
        <f>IF(E518&gt;0,"A","B")</f>
        <v>A</v>
      </c>
      <c r="H518" s="20" t="str">
        <f>IF(F518&gt;0,"A","B")</f>
        <v>A</v>
      </c>
      <c r="I518" s="8">
        <f t="shared" ref="I518:I523" si="369">F518-E518</f>
        <v>0</v>
      </c>
      <c r="J518" s="8">
        <f t="shared" ref="J518:J523" si="370">$C$1*I518*B518</f>
        <v>0</v>
      </c>
      <c r="K518" s="9">
        <f t="shared" ref="K518:K523" si="371">$C$1*I518*C518</f>
        <v>0</v>
      </c>
    </row>
    <row r="519" spans="1:11" x14ac:dyDescent="0.25">
      <c r="A519" s="5">
        <v>2</v>
      </c>
      <c r="B519" s="6">
        <f t="shared" ref="B519:C519" si="372">B504</f>
        <v>1</v>
      </c>
      <c r="C519" s="6">
        <f t="shared" si="372"/>
        <v>1</v>
      </c>
      <c r="D519" s="8">
        <f>B519*B514+C519*C514+D514</f>
        <v>-0.20666666666666844</v>
      </c>
      <c r="E519" s="6">
        <f t="shared" ref="E519:E523" si="373">IF(D519&gt;=0,$F$1,$E$1)</f>
        <v>-1</v>
      </c>
      <c r="F519" s="6">
        <f>$F$9</f>
        <v>-1</v>
      </c>
      <c r="G519" s="20" t="str">
        <f t="shared" ref="G519:G523" si="374">IF(E519&gt;0,"A","B")</f>
        <v>B</v>
      </c>
      <c r="H519" s="20" t="str">
        <f t="shared" ref="H519:H523" si="375">IF(F519&gt;0,"A","B")</f>
        <v>B</v>
      </c>
      <c r="I519" s="8">
        <f t="shared" si="369"/>
        <v>0</v>
      </c>
      <c r="J519" s="8">
        <f t="shared" si="370"/>
        <v>0</v>
      </c>
      <c r="K519" s="9">
        <f t="shared" si="371"/>
        <v>0</v>
      </c>
    </row>
    <row r="520" spans="1:11" x14ac:dyDescent="0.25">
      <c r="A520" s="5">
        <v>3</v>
      </c>
      <c r="B520" s="6">
        <f t="shared" ref="B520:C520" si="376">B505</f>
        <v>2</v>
      </c>
      <c r="C520" s="6">
        <f t="shared" si="376"/>
        <v>2</v>
      </c>
      <c r="D520" s="8">
        <f>B520*B514+C520*C514+D514</f>
        <v>0.58666666666666312</v>
      </c>
      <c r="E520" s="6">
        <f t="shared" si="373"/>
        <v>1</v>
      </c>
      <c r="F520" s="6">
        <f>$F$10</f>
        <v>-1</v>
      </c>
      <c r="G520" s="20" t="str">
        <f t="shared" si="374"/>
        <v>A</v>
      </c>
      <c r="H520" s="20" t="str">
        <f t="shared" si="375"/>
        <v>B</v>
      </c>
      <c r="I520" s="8">
        <f t="shared" si="369"/>
        <v>-2</v>
      </c>
      <c r="J520" s="8">
        <f t="shared" si="370"/>
        <v>-0.04</v>
      </c>
      <c r="K520" s="9">
        <f t="shared" si="371"/>
        <v>-0.04</v>
      </c>
    </row>
    <row r="521" spans="1:11" x14ac:dyDescent="0.25">
      <c r="A521" s="5">
        <v>4</v>
      </c>
      <c r="B521" s="6">
        <f t="shared" ref="B521:C521" si="377">B506</f>
        <v>2</v>
      </c>
      <c r="C521" s="6">
        <f t="shared" si="377"/>
        <v>3</v>
      </c>
      <c r="D521" s="8">
        <f>B521*B514+C521*C514+D514</f>
        <v>1.0399999999999952</v>
      </c>
      <c r="E521" s="6">
        <f t="shared" si="373"/>
        <v>1</v>
      </c>
      <c r="F521" s="6">
        <f>$F$11</f>
        <v>1</v>
      </c>
      <c r="G521" s="20" t="str">
        <f t="shared" si="374"/>
        <v>A</v>
      </c>
      <c r="H521" s="20" t="str">
        <f t="shared" si="375"/>
        <v>A</v>
      </c>
      <c r="I521" s="8">
        <f t="shared" si="369"/>
        <v>0</v>
      </c>
      <c r="J521" s="8">
        <f t="shared" si="370"/>
        <v>0</v>
      </c>
      <c r="K521" s="9">
        <f t="shared" si="371"/>
        <v>0</v>
      </c>
    </row>
    <row r="522" spans="1:11" x14ac:dyDescent="0.25">
      <c r="A522" s="5">
        <v>5</v>
      </c>
      <c r="B522" s="6">
        <f t="shared" ref="B522:C522" si="378">B507</f>
        <v>5</v>
      </c>
      <c r="C522" s="6">
        <f t="shared" si="378"/>
        <v>3</v>
      </c>
      <c r="D522" s="8">
        <f>B522*B514+C522*C514+D514</f>
        <v>2.0599999999999934</v>
      </c>
      <c r="E522" s="6">
        <f t="shared" si="373"/>
        <v>1</v>
      </c>
      <c r="F522" s="6">
        <f>$F$12</f>
        <v>1</v>
      </c>
      <c r="G522" s="20" t="str">
        <f t="shared" si="374"/>
        <v>A</v>
      </c>
      <c r="H522" s="20" t="str">
        <f t="shared" si="375"/>
        <v>A</v>
      </c>
      <c r="I522" s="8">
        <f t="shared" si="369"/>
        <v>0</v>
      </c>
      <c r="J522" s="8">
        <f t="shared" si="370"/>
        <v>0</v>
      </c>
      <c r="K522" s="9">
        <f t="shared" si="371"/>
        <v>0</v>
      </c>
    </row>
    <row r="523" spans="1:11" x14ac:dyDescent="0.25">
      <c r="A523" s="5">
        <v>6</v>
      </c>
      <c r="B523" s="6">
        <f t="shared" ref="B523:C523" si="379">B508</f>
        <v>3</v>
      </c>
      <c r="C523" s="6">
        <f t="shared" si="379"/>
        <v>2</v>
      </c>
      <c r="D523" s="8">
        <f>B523*B514+C523*C514+D514</f>
        <v>0.92666666666666275</v>
      </c>
      <c r="E523" s="6">
        <f t="shared" si="373"/>
        <v>1</v>
      </c>
      <c r="F523" s="6">
        <f>$F$13</f>
        <v>-1</v>
      </c>
      <c r="G523" s="20" t="str">
        <f t="shared" si="374"/>
        <v>A</v>
      </c>
      <c r="H523" s="20" t="str">
        <f t="shared" si="375"/>
        <v>B</v>
      </c>
      <c r="I523" s="8">
        <f t="shared" si="369"/>
        <v>-2</v>
      </c>
      <c r="J523" s="8">
        <f t="shared" si="370"/>
        <v>-0.06</v>
      </c>
      <c r="K523" s="9">
        <f t="shared" si="371"/>
        <v>-0.04</v>
      </c>
    </row>
    <row r="524" spans="1:11" x14ac:dyDescent="0.25">
      <c r="A524" s="5"/>
      <c r="B524" s="6"/>
      <c r="C524" s="6"/>
      <c r="D524" s="6"/>
      <c r="E524" s="6"/>
      <c r="F524" s="6"/>
      <c r="G524" s="20" t="s">
        <v>8</v>
      </c>
      <c r="H524" s="20"/>
      <c r="I524" s="8">
        <f>SUM(I518:I523)</f>
        <v>-4</v>
      </c>
      <c r="J524" s="8">
        <f>AVERAGE(J518:J523)</f>
        <v>-1.6666666666666666E-2</v>
      </c>
      <c r="K524" s="9">
        <f>AVERAGE(K518:K523)</f>
        <v>-1.3333333333333334E-2</v>
      </c>
    </row>
    <row r="525" spans="1:11" x14ac:dyDescent="0.25">
      <c r="A525" s="5"/>
      <c r="B525" s="6"/>
      <c r="C525" s="6"/>
      <c r="D525" s="6"/>
      <c r="E525" s="6"/>
      <c r="F525" s="6"/>
      <c r="G525" s="20" t="s">
        <v>9</v>
      </c>
      <c r="H525" s="20"/>
      <c r="I525" s="8">
        <f>SUMSQ(I518:I523)</f>
        <v>8</v>
      </c>
      <c r="J525" s="10"/>
      <c r="K525" s="15"/>
    </row>
    <row r="526" spans="1:11" x14ac:dyDescent="0.25">
      <c r="A526" s="11"/>
      <c r="B526" s="12"/>
      <c r="C526" s="12"/>
      <c r="D526" s="12"/>
      <c r="E526" s="12"/>
      <c r="F526" s="12"/>
      <c r="G526" s="21"/>
      <c r="H526" s="21"/>
      <c r="I526" s="18"/>
      <c r="J526" s="13"/>
      <c r="K526" s="16"/>
    </row>
    <row r="527" spans="1:11" x14ac:dyDescent="0.25">
      <c r="A527" s="2" t="s">
        <v>13</v>
      </c>
      <c r="B527" s="3">
        <f>B512+1</f>
        <v>36</v>
      </c>
      <c r="C527" s="3"/>
      <c r="D527" s="3"/>
      <c r="E527" s="3"/>
      <c r="F527" s="3"/>
      <c r="G527" s="19"/>
      <c r="H527" s="19"/>
      <c r="I527" s="17"/>
      <c r="J527" s="3"/>
      <c r="K527" s="4"/>
    </row>
    <row r="528" spans="1:11" x14ac:dyDescent="0.25">
      <c r="A528" s="5"/>
      <c r="B528" s="6" t="s">
        <v>4</v>
      </c>
      <c r="C528" s="6" t="s">
        <v>5</v>
      </c>
      <c r="D528" s="6" t="s">
        <v>6</v>
      </c>
      <c r="E528" s="6"/>
      <c r="F528" s="6"/>
      <c r="G528" s="20"/>
      <c r="H528" s="20"/>
      <c r="I528" s="8"/>
      <c r="J528" s="6"/>
      <c r="K528" s="7"/>
    </row>
    <row r="529" spans="1:11" x14ac:dyDescent="0.25">
      <c r="A529" s="5">
        <v>1</v>
      </c>
      <c r="B529" s="14">
        <f>B514+J524</f>
        <v>0.32333333333333286</v>
      </c>
      <c r="C529" s="14">
        <f>C514+K524</f>
        <v>0.43999999999999873</v>
      </c>
      <c r="D529" s="6">
        <f>D514</f>
        <v>-1</v>
      </c>
      <c r="E529" s="6"/>
      <c r="F529" s="6"/>
      <c r="G529" s="20"/>
      <c r="H529" s="20"/>
      <c r="I529" s="8"/>
      <c r="J529" s="6"/>
      <c r="K529" s="7"/>
    </row>
    <row r="530" spans="1:11" x14ac:dyDescent="0.25">
      <c r="A530" s="5"/>
      <c r="B530" s="6"/>
      <c r="C530" s="6"/>
      <c r="D530" s="6"/>
      <c r="E530" s="6"/>
      <c r="F530" s="6"/>
      <c r="G530" s="20"/>
      <c r="H530" s="20"/>
      <c r="I530" s="8"/>
      <c r="J530" s="6"/>
      <c r="K530" s="7"/>
    </row>
    <row r="531" spans="1:11" x14ac:dyDescent="0.25">
      <c r="A531" s="5"/>
      <c r="B531" s="6"/>
      <c r="C531" s="6"/>
      <c r="D531" s="6"/>
      <c r="E531" s="6"/>
      <c r="F531" s="6"/>
      <c r="G531" s="20"/>
      <c r="H531" s="20"/>
      <c r="I531" s="8"/>
      <c r="J531" s="6"/>
      <c r="K531" s="7"/>
    </row>
    <row r="532" spans="1:11" x14ac:dyDescent="0.25">
      <c r="A532" s="5" t="s">
        <v>10</v>
      </c>
      <c r="B532" s="6" t="s">
        <v>2</v>
      </c>
      <c r="C532" s="6" t="s">
        <v>3</v>
      </c>
      <c r="D532" s="6" t="s">
        <v>0</v>
      </c>
      <c r="E532" s="6" t="s">
        <v>15</v>
      </c>
      <c r="F532" s="6" t="s">
        <v>1</v>
      </c>
      <c r="G532" s="20" t="s">
        <v>17</v>
      </c>
      <c r="H532" s="20" t="s">
        <v>16</v>
      </c>
      <c r="I532" s="8" t="s">
        <v>7</v>
      </c>
      <c r="J532" s="6" t="s">
        <v>11</v>
      </c>
      <c r="K532" s="7" t="s">
        <v>12</v>
      </c>
    </row>
    <row r="533" spans="1:11" x14ac:dyDescent="0.25">
      <c r="A533" s="5">
        <v>1</v>
      </c>
      <c r="B533" s="6">
        <f>B518</f>
        <v>4</v>
      </c>
      <c r="C533" s="6">
        <f>C518</f>
        <v>3</v>
      </c>
      <c r="D533" s="8">
        <f>B533*B529+C533*C529+D529</f>
        <v>1.613333333333328</v>
      </c>
      <c r="E533" s="6">
        <f>IF(D533&gt;=0,$F$1,$E$1)</f>
        <v>1</v>
      </c>
      <c r="F533" s="6">
        <f>$F$8</f>
        <v>1</v>
      </c>
      <c r="G533" s="20" t="str">
        <f>IF(E533&gt;0,"A","B")</f>
        <v>A</v>
      </c>
      <c r="H533" s="20" t="str">
        <f>IF(F533&gt;0,"A","B")</f>
        <v>A</v>
      </c>
      <c r="I533" s="8">
        <f t="shared" ref="I533:I538" si="380">F533-E533</f>
        <v>0</v>
      </c>
      <c r="J533" s="8">
        <f t="shared" ref="J533:J538" si="381">$C$1*I533*B533</f>
        <v>0</v>
      </c>
      <c r="K533" s="9">
        <f t="shared" ref="K533:K538" si="382">$C$1*I533*C533</f>
        <v>0</v>
      </c>
    </row>
    <row r="534" spans="1:11" x14ac:dyDescent="0.25">
      <c r="A534" s="5">
        <v>2</v>
      </c>
      <c r="B534" s="6">
        <f t="shared" ref="B534:C534" si="383">B519</f>
        <v>1</v>
      </c>
      <c r="C534" s="6">
        <f t="shared" si="383"/>
        <v>1</v>
      </c>
      <c r="D534" s="8">
        <f>B534*B529+C534*C529+D529</f>
        <v>-0.23666666666666836</v>
      </c>
      <c r="E534" s="6">
        <f t="shared" ref="E534:E538" si="384">IF(D534&gt;=0,$F$1,$E$1)</f>
        <v>-1</v>
      </c>
      <c r="F534" s="6">
        <f>$F$9</f>
        <v>-1</v>
      </c>
      <c r="G534" s="20" t="str">
        <f t="shared" ref="G534:G538" si="385">IF(E534&gt;0,"A","B")</f>
        <v>B</v>
      </c>
      <c r="H534" s="20" t="str">
        <f t="shared" ref="H534:H538" si="386">IF(F534&gt;0,"A","B")</f>
        <v>B</v>
      </c>
      <c r="I534" s="8">
        <f t="shared" si="380"/>
        <v>0</v>
      </c>
      <c r="J534" s="8">
        <f t="shared" si="381"/>
        <v>0</v>
      </c>
      <c r="K534" s="9">
        <f t="shared" si="382"/>
        <v>0</v>
      </c>
    </row>
    <row r="535" spans="1:11" x14ac:dyDescent="0.25">
      <c r="A535" s="5">
        <v>3</v>
      </c>
      <c r="B535" s="6">
        <f t="shared" ref="B535:C535" si="387">B520</f>
        <v>2</v>
      </c>
      <c r="C535" s="6">
        <f t="shared" si="387"/>
        <v>2</v>
      </c>
      <c r="D535" s="8">
        <f>B535*B529+C535*C529+D529</f>
        <v>0.52666666666666329</v>
      </c>
      <c r="E535" s="6">
        <f t="shared" si="384"/>
        <v>1</v>
      </c>
      <c r="F535" s="6">
        <f>$F$10</f>
        <v>-1</v>
      </c>
      <c r="G535" s="20" t="str">
        <f t="shared" si="385"/>
        <v>A</v>
      </c>
      <c r="H535" s="20" t="str">
        <f t="shared" si="386"/>
        <v>B</v>
      </c>
      <c r="I535" s="8">
        <f t="shared" si="380"/>
        <v>-2</v>
      </c>
      <c r="J535" s="8">
        <f t="shared" si="381"/>
        <v>-0.04</v>
      </c>
      <c r="K535" s="9">
        <f t="shared" si="382"/>
        <v>-0.04</v>
      </c>
    </row>
    <row r="536" spans="1:11" x14ac:dyDescent="0.25">
      <c r="A536" s="5">
        <v>4</v>
      </c>
      <c r="B536" s="6">
        <f t="shared" ref="B536:C536" si="388">B521</f>
        <v>2</v>
      </c>
      <c r="C536" s="6">
        <f t="shared" si="388"/>
        <v>3</v>
      </c>
      <c r="D536" s="8">
        <f>B536*B529+C536*C529+D529</f>
        <v>0.9666666666666619</v>
      </c>
      <c r="E536" s="6">
        <f t="shared" si="384"/>
        <v>1</v>
      </c>
      <c r="F536" s="6">
        <f>$F$11</f>
        <v>1</v>
      </c>
      <c r="G536" s="20" t="str">
        <f t="shared" si="385"/>
        <v>A</v>
      </c>
      <c r="H536" s="20" t="str">
        <f t="shared" si="386"/>
        <v>A</v>
      </c>
      <c r="I536" s="8">
        <f t="shared" si="380"/>
        <v>0</v>
      </c>
      <c r="J536" s="8">
        <f t="shared" si="381"/>
        <v>0</v>
      </c>
      <c r="K536" s="9">
        <f t="shared" si="382"/>
        <v>0</v>
      </c>
    </row>
    <row r="537" spans="1:11" x14ac:dyDescent="0.25">
      <c r="A537" s="5">
        <v>5</v>
      </c>
      <c r="B537" s="6">
        <f t="shared" ref="B537:C537" si="389">B522</f>
        <v>5</v>
      </c>
      <c r="C537" s="6">
        <f t="shared" si="389"/>
        <v>3</v>
      </c>
      <c r="D537" s="8">
        <f>B537*B529+C537*C529+D529</f>
        <v>1.9366666666666603</v>
      </c>
      <c r="E537" s="6">
        <f t="shared" si="384"/>
        <v>1</v>
      </c>
      <c r="F537" s="6">
        <f>$F$12</f>
        <v>1</v>
      </c>
      <c r="G537" s="20" t="str">
        <f t="shared" si="385"/>
        <v>A</v>
      </c>
      <c r="H537" s="20" t="str">
        <f t="shared" si="386"/>
        <v>A</v>
      </c>
      <c r="I537" s="8">
        <f t="shared" si="380"/>
        <v>0</v>
      </c>
      <c r="J537" s="8">
        <f t="shared" si="381"/>
        <v>0</v>
      </c>
      <c r="K537" s="9">
        <f t="shared" si="382"/>
        <v>0</v>
      </c>
    </row>
    <row r="538" spans="1:11" x14ac:dyDescent="0.25">
      <c r="A538" s="5">
        <v>6</v>
      </c>
      <c r="B538" s="6">
        <f t="shared" ref="B538:C538" si="390">B523</f>
        <v>3</v>
      </c>
      <c r="C538" s="6">
        <f t="shared" si="390"/>
        <v>2</v>
      </c>
      <c r="D538" s="8">
        <f>B538*B529+C538*C529+D529</f>
        <v>0.84999999999999609</v>
      </c>
      <c r="E538" s="6">
        <f t="shared" si="384"/>
        <v>1</v>
      </c>
      <c r="F538" s="6">
        <f>$F$13</f>
        <v>-1</v>
      </c>
      <c r="G538" s="20" t="str">
        <f t="shared" si="385"/>
        <v>A</v>
      </c>
      <c r="H538" s="20" t="str">
        <f t="shared" si="386"/>
        <v>B</v>
      </c>
      <c r="I538" s="8">
        <f t="shared" si="380"/>
        <v>-2</v>
      </c>
      <c r="J538" s="8">
        <f t="shared" si="381"/>
        <v>-0.06</v>
      </c>
      <c r="K538" s="9">
        <f t="shared" si="382"/>
        <v>-0.04</v>
      </c>
    </row>
    <row r="539" spans="1:11" x14ac:dyDescent="0.25">
      <c r="A539" s="5"/>
      <c r="B539" s="6"/>
      <c r="C539" s="6"/>
      <c r="D539" s="6"/>
      <c r="E539" s="6"/>
      <c r="F539" s="6"/>
      <c r="G539" s="20" t="s">
        <v>8</v>
      </c>
      <c r="H539" s="20"/>
      <c r="I539" s="8">
        <f>SUM(I533:I538)</f>
        <v>-4</v>
      </c>
      <c r="J539" s="8">
        <f>AVERAGE(J533:J538)</f>
        <v>-1.6666666666666666E-2</v>
      </c>
      <c r="K539" s="9">
        <f>AVERAGE(K533:K538)</f>
        <v>-1.3333333333333334E-2</v>
      </c>
    </row>
    <row r="540" spans="1:11" x14ac:dyDescent="0.25">
      <c r="A540" s="5"/>
      <c r="B540" s="6"/>
      <c r="C540" s="6"/>
      <c r="D540" s="6"/>
      <c r="E540" s="6"/>
      <c r="F540" s="6"/>
      <c r="G540" s="20" t="s">
        <v>9</v>
      </c>
      <c r="H540" s="20"/>
      <c r="I540" s="8">
        <f>SUMSQ(I533:I538)</f>
        <v>8</v>
      </c>
      <c r="J540" s="10"/>
      <c r="K540" s="15"/>
    </row>
    <row r="541" spans="1:11" x14ac:dyDescent="0.25">
      <c r="A541" s="11"/>
      <c r="B541" s="12"/>
      <c r="C541" s="12"/>
      <c r="D541" s="12"/>
      <c r="E541" s="12"/>
      <c r="F541" s="12"/>
      <c r="G541" s="21"/>
      <c r="H541" s="21"/>
      <c r="I541" s="18"/>
      <c r="J541" s="13"/>
      <c r="K541" s="16"/>
    </row>
    <row r="542" spans="1:11" x14ac:dyDescent="0.25">
      <c r="A542" s="2" t="s">
        <v>13</v>
      </c>
      <c r="B542" s="3">
        <f>B527+1</f>
        <v>37</v>
      </c>
      <c r="C542" s="3"/>
      <c r="D542" s="3"/>
      <c r="E542" s="3"/>
      <c r="F542" s="3"/>
      <c r="G542" s="19"/>
      <c r="H542" s="19"/>
      <c r="I542" s="17"/>
      <c r="J542" s="3"/>
      <c r="K542" s="4"/>
    </row>
    <row r="543" spans="1:11" x14ac:dyDescent="0.25">
      <c r="A543" s="5"/>
      <c r="B543" s="6" t="s">
        <v>4</v>
      </c>
      <c r="C543" s="6" t="s">
        <v>5</v>
      </c>
      <c r="D543" s="6" t="s">
        <v>6</v>
      </c>
      <c r="E543" s="6"/>
      <c r="F543" s="6"/>
      <c r="G543" s="20"/>
      <c r="H543" s="20"/>
      <c r="I543" s="8"/>
      <c r="J543" s="6"/>
      <c r="K543" s="7"/>
    </row>
    <row r="544" spans="1:11" x14ac:dyDescent="0.25">
      <c r="A544" s="5">
        <v>1</v>
      </c>
      <c r="B544" s="14">
        <f>B529+J539</f>
        <v>0.3066666666666662</v>
      </c>
      <c r="C544" s="14">
        <f>C529+K539</f>
        <v>0.42666666666666542</v>
      </c>
      <c r="D544" s="6">
        <f>D529</f>
        <v>-1</v>
      </c>
      <c r="E544" s="6"/>
      <c r="F544" s="6"/>
      <c r="G544" s="20"/>
      <c r="H544" s="20"/>
      <c r="I544" s="8"/>
      <c r="J544" s="6"/>
      <c r="K544" s="7"/>
    </row>
    <row r="545" spans="1:11" x14ac:dyDescent="0.25">
      <c r="A545" s="5"/>
      <c r="B545" s="6"/>
      <c r="C545" s="6"/>
      <c r="D545" s="6"/>
      <c r="E545" s="6"/>
      <c r="F545" s="6"/>
      <c r="G545" s="20"/>
      <c r="H545" s="20"/>
      <c r="I545" s="8"/>
      <c r="J545" s="6"/>
      <c r="K545" s="7"/>
    </row>
    <row r="546" spans="1:11" x14ac:dyDescent="0.25">
      <c r="A546" s="5"/>
      <c r="B546" s="6"/>
      <c r="C546" s="6"/>
      <c r="D546" s="6"/>
      <c r="E546" s="6"/>
      <c r="F546" s="6"/>
      <c r="G546" s="20"/>
      <c r="H546" s="20"/>
      <c r="I546" s="8"/>
      <c r="J546" s="6"/>
      <c r="K546" s="7"/>
    </row>
    <row r="547" spans="1:11" x14ac:dyDescent="0.25">
      <c r="A547" s="5" t="s">
        <v>10</v>
      </c>
      <c r="B547" s="6" t="s">
        <v>2</v>
      </c>
      <c r="C547" s="6" t="s">
        <v>3</v>
      </c>
      <c r="D547" s="6" t="s">
        <v>0</v>
      </c>
      <c r="E547" s="6" t="s">
        <v>15</v>
      </c>
      <c r="F547" s="6" t="s">
        <v>1</v>
      </c>
      <c r="G547" s="20" t="s">
        <v>17</v>
      </c>
      <c r="H547" s="20" t="s">
        <v>16</v>
      </c>
      <c r="I547" s="8" t="s">
        <v>7</v>
      </c>
      <c r="J547" s="6" t="s">
        <v>11</v>
      </c>
      <c r="K547" s="7" t="s">
        <v>12</v>
      </c>
    </row>
    <row r="548" spans="1:11" x14ac:dyDescent="0.25">
      <c r="A548" s="5">
        <v>1</v>
      </c>
      <c r="B548" s="6">
        <f>B533</f>
        <v>4</v>
      </c>
      <c r="C548" s="6">
        <f>C533</f>
        <v>3</v>
      </c>
      <c r="D548" s="8">
        <f>B548*B544+C548*C544+D544</f>
        <v>1.506666666666661</v>
      </c>
      <c r="E548" s="6">
        <f>IF(D548&gt;=0,$F$1,$E$1)</f>
        <v>1</v>
      </c>
      <c r="F548" s="6">
        <f>$F$8</f>
        <v>1</v>
      </c>
      <c r="G548" s="20" t="str">
        <f>IF(E548&gt;0,"A","B")</f>
        <v>A</v>
      </c>
      <c r="H548" s="20" t="str">
        <f>IF(F548&gt;0,"A","B")</f>
        <v>A</v>
      </c>
      <c r="I548" s="8">
        <f t="shared" ref="I548:I553" si="391">F548-E548</f>
        <v>0</v>
      </c>
      <c r="J548" s="8">
        <f t="shared" ref="J548:J553" si="392">$C$1*I548*B548</f>
        <v>0</v>
      </c>
      <c r="K548" s="9">
        <f t="shared" ref="K548:K553" si="393">$C$1*I548*C548</f>
        <v>0</v>
      </c>
    </row>
    <row r="549" spans="1:11" x14ac:dyDescent="0.25">
      <c r="A549" s="5">
        <v>2</v>
      </c>
      <c r="B549" s="6">
        <f t="shared" ref="B549:C549" si="394">B534</f>
        <v>1</v>
      </c>
      <c r="C549" s="6">
        <f t="shared" si="394"/>
        <v>1</v>
      </c>
      <c r="D549" s="8">
        <f>B549*B544+C549*C544+D544</f>
        <v>-0.26666666666666838</v>
      </c>
      <c r="E549" s="6">
        <f t="shared" ref="E549:E553" si="395">IF(D549&gt;=0,$F$1,$E$1)</f>
        <v>-1</v>
      </c>
      <c r="F549" s="6">
        <f>$F$9</f>
        <v>-1</v>
      </c>
      <c r="G549" s="20" t="str">
        <f t="shared" ref="G549:G553" si="396">IF(E549&gt;0,"A","B")</f>
        <v>B</v>
      </c>
      <c r="H549" s="20" t="str">
        <f t="shared" ref="H549:H553" si="397">IF(F549&gt;0,"A","B")</f>
        <v>B</v>
      </c>
      <c r="I549" s="8">
        <f t="shared" si="391"/>
        <v>0</v>
      </c>
      <c r="J549" s="8">
        <f t="shared" si="392"/>
        <v>0</v>
      </c>
      <c r="K549" s="9">
        <f t="shared" si="393"/>
        <v>0</v>
      </c>
    </row>
    <row r="550" spans="1:11" x14ac:dyDescent="0.25">
      <c r="A550" s="5">
        <v>3</v>
      </c>
      <c r="B550" s="6">
        <f t="shared" ref="B550:C550" si="398">B535</f>
        <v>2</v>
      </c>
      <c r="C550" s="6">
        <f t="shared" si="398"/>
        <v>2</v>
      </c>
      <c r="D550" s="8">
        <f>B550*B544+C550*C544+D544</f>
        <v>0.46666666666666323</v>
      </c>
      <c r="E550" s="6">
        <f t="shared" si="395"/>
        <v>1</v>
      </c>
      <c r="F550" s="6">
        <f>$F$10</f>
        <v>-1</v>
      </c>
      <c r="G550" s="20" t="str">
        <f t="shared" si="396"/>
        <v>A</v>
      </c>
      <c r="H550" s="20" t="str">
        <f t="shared" si="397"/>
        <v>B</v>
      </c>
      <c r="I550" s="8">
        <f t="shared" si="391"/>
        <v>-2</v>
      </c>
      <c r="J550" s="8">
        <f t="shared" si="392"/>
        <v>-0.04</v>
      </c>
      <c r="K550" s="9">
        <f t="shared" si="393"/>
        <v>-0.04</v>
      </c>
    </row>
    <row r="551" spans="1:11" x14ac:dyDescent="0.25">
      <c r="A551" s="5">
        <v>4</v>
      </c>
      <c r="B551" s="6">
        <f t="shared" ref="B551:C551" si="399">B536</f>
        <v>2</v>
      </c>
      <c r="C551" s="6">
        <f t="shared" si="399"/>
        <v>3</v>
      </c>
      <c r="D551" s="8">
        <f>B551*B544+C551*C544+D544</f>
        <v>0.89333333333332865</v>
      </c>
      <c r="E551" s="6">
        <f t="shared" si="395"/>
        <v>1</v>
      </c>
      <c r="F551" s="6">
        <f>$F$11</f>
        <v>1</v>
      </c>
      <c r="G551" s="20" t="str">
        <f t="shared" si="396"/>
        <v>A</v>
      </c>
      <c r="H551" s="20" t="str">
        <f t="shared" si="397"/>
        <v>A</v>
      </c>
      <c r="I551" s="8">
        <f t="shared" si="391"/>
        <v>0</v>
      </c>
      <c r="J551" s="8">
        <f t="shared" si="392"/>
        <v>0</v>
      </c>
      <c r="K551" s="9">
        <f t="shared" si="393"/>
        <v>0</v>
      </c>
    </row>
    <row r="552" spans="1:11" x14ac:dyDescent="0.25">
      <c r="A552" s="5">
        <v>5</v>
      </c>
      <c r="B552" s="6">
        <f t="shared" ref="B552:C552" si="400">B537</f>
        <v>5</v>
      </c>
      <c r="C552" s="6">
        <f t="shared" si="400"/>
        <v>3</v>
      </c>
      <c r="D552" s="8">
        <f>B552*B544+C552*C544+D544</f>
        <v>1.8133333333333272</v>
      </c>
      <c r="E552" s="6">
        <f t="shared" si="395"/>
        <v>1</v>
      </c>
      <c r="F552" s="6">
        <f>$F$12</f>
        <v>1</v>
      </c>
      <c r="G552" s="20" t="str">
        <f t="shared" si="396"/>
        <v>A</v>
      </c>
      <c r="H552" s="20" t="str">
        <f t="shared" si="397"/>
        <v>A</v>
      </c>
      <c r="I552" s="8">
        <f t="shared" si="391"/>
        <v>0</v>
      </c>
      <c r="J552" s="8">
        <f t="shared" si="392"/>
        <v>0</v>
      </c>
      <c r="K552" s="9">
        <f t="shared" si="393"/>
        <v>0</v>
      </c>
    </row>
    <row r="553" spans="1:11" x14ac:dyDescent="0.25">
      <c r="A553" s="5">
        <v>6</v>
      </c>
      <c r="B553" s="6">
        <f t="shared" ref="B553:C553" si="401">B538</f>
        <v>3</v>
      </c>
      <c r="C553" s="6">
        <f t="shared" si="401"/>
        <v>2</v>
      </c>
      <c r="D553" s="8">
        <f>B553*B544+C553*C544+D544</f>
        <v>0.77333333333332943</v>
      </c>
      <c r="E553" s="6">
        <f t="shared" si="395"/>
        <v>1</v>
      </c>
      <c r="F553" s="6">
        <f>$F$13</f>
        <v>-1</v>
      </c>
      <c r="G553" s="20" t="str">
        <f t="shared" si="396"/>
        <v>A</v>
      </c>
      <c r="H553" s="20" t="str">
        <f t="shared" si="397"/>
        <v>B</v>
      </c>
      <c r="I553" s="8">
        <f t="shared" si="391"/>
        <v>-2</v>
      </c>
      <c r="J553" s="8">
        <f t="shared" si="392"/>
        <v>-0.06</v>
      </c>
      <c r="K553" s="9">
        <f t="shared" si="393"/>
        <v>-0.04</v>
      </c>
    </row>
    <row r="554" spans="1:11" x14ac:dyDescent="0.25">
      <c r="A554" s="5"/>
      <c r="B554" s="6"/>
      <c r="C554" s="6"/>
      <c r="D554" s="6"/>
      <c r="E554" s="6"/>
      <c r="F554" s="6"/>
      <c r="G554" s="20" t="s">
        <v>8</v>
      </c>
      <c r="H554" s="20"/>
      <c r="I554" s="8">
        <f>SUM(I548:I553)</f>
        <v>-4</v>
      </c>
      <c r="J554" s="8">
        <f>AVERAGE(J548:J553)</f>
        <v>-1.6666666666666666E-2</v>
      </c>
      <c r="K554" s="9">
        <f>AVERAGE(K548:K553)</f>
        <v>-1.3333333333333334E-2</v>
      </c>
    </row>
    <row r="555" spans="1:11" x14ac:dyDescent="0.25">
      <c r="A555" s="5"/>
      <c r="B555" s="6"/>
      <c r="C555" s="6"/>
      <c r="D555" s="6"/>
      <c r="E555" s="6"/>
      <c r="F555" s="6"/>
      <c r="G555" s="20" t="s">
        <v>9</v>
      </c>
      <c r="H555" s="20"/>
      <c r="I555" s="8">
        <f>SUMSQ(I548:I553)</f>
        <v>8</v>
      </c>
      <c r="J555" s="10"/>
      <c r="K555" s="15"/>
    </row>
    <row r="556" spans="1:11" x14ac:dyDescent="0.25">
      <c r="A556" s="11"/>
      <c r="B556" s="12"/>
      <c r="C556" s="12"/>
      <c r="D556" s="12"/>
      <c r="E556" s="12"/>
      <c r="F556" s="12"/>
      <c r="G556" s="21"/>
      <c r="H556" s="21"/>
      <c r="I556" s="18"/>
      <c r="J556" s="13"/>
      <c r="K556" s="16"/>
    </row>
    <row r="557" spans="1:11" x14ac:dyDescent="0.25">
      <c r="A557" s="2" t="s">
        <v>13</v>
      </c>
      <c r="B557" s="3">
        <f>B542+1</f>
        <v>38</v>
      </c>
      <c r="C557" s="3"/>
      <c r="D557" s="3"/>
      <c r="E557" s="3"/>
      <c r="F557" s="3"/>
      <c r="G557" s="19"/>
      <c r="H557" s="19"/>
      <c r="I557" s="17"/>
      <c r="J557" s="3"/>
      <c r="K557" s="4"/>
    </row>
    <row r="558" spans="1:11" x14ac:dyDescent="0.25">
      <c r="A558" s="5"/>
      <c r="B558" s="6" t="s">
        <v>4</v>
      </c>
      <c r="C558" s="6" t="s">
        <v>5</v>
      </c>
      <c r="D558" s="6" t="s">
        <v>6</v>
      </c>
      <c r="E558" s="6"/>
      <c r="F558" s="6"/>
      <c r="G558" s="20"/>
      <c r="H558" s="20"/>
      <c r="I558" s="8"/>
      <c r="J558" s="6"/>
      <c r="K558" s="7"/>
    </row>
    <row r="559" spans="1:11" x14ac:dyDescent="0.25">
      <c r="A559" s="5">
        <v>1</v>
      </c>
      <c r="B559" s="14">
        <f>B544+J554</f>
        <v>0.28999999999999954</v>
      </c>
      <c r="C559" s="14">
        <f>C544+K554</f>
        <v>0.41333333333333211</v>
      </c>
      <c r="D559" s="6">
        <f>D544</f>
        <v>-1</v>
      </c>
      <c r="E559" s="6"/>
      <c r="F559" s="6"/>
      <c r="G559" s="20"/>
      <c r="H559" s="20"/>
      <c r="I559" s="8"/>
      <c r="J559" s="6"/>
      <c r="K559" s="7"/>
    </row>
    <row r="560" spans="1:11" x14ac:dyDescent="0.25">
      <c r="A560" s="5"/>
      <c r="B560" s="6"/>
      <c r="C560" s="6"/>
      <c r="D560" s="6"/>
      <c r="E560" s="6"/>
      <c r="F560" s="6"/>
      <c r="G560" s="20"/>
      <c r="H560" s="20"/>
      <c r="I560" s="8"/>
      <c r="J560" s="6"/>
      <c r="K560" s="7"/>
    </row>
    <row r="561" spans="1:11" x14ac:dyDescent="0.25">
      <c r="A561" s="5"/>
      <c r="B561" s="6"/>
      <c r="C561" s="6"/>
      <c r="D561" s="6"/>
      <c r="E561" s="6"/>
      <c r="F561" s="6"/>
      <c r="G561" s="20"/>
      <c r="H561" s="20"/>
      <c r="I561" s="8"/>
      <c r="J561" s="6"/>
      <c r="K561" s="7"/>
    </row>
    <row r="562" spans="1:11" x14ac:dyDescent="0.25">
      <c r="A562" s="5" t="s">
        <v>10</v>
      </c>
      <c r="B562" s="6" t="s">
        <v>2</v>
      </c>
      <c r="C562" s="6" t="s">
        <v>3</v>
      </c>
      <c r="D562" s="6" t="s">
        <v>0</v>
      </c>
      <c r="E562" s="6" t="s">
        <v>15</v>
      </c>
      <c r="F562" s="6" t="s">
        <v>1</v>
      </c>
      <c r="G562" s="20" t="s">
        <v>17</v>
      </c>
      <c r="H562" s="20" t="s">
        <v>16</v>
      </c>
      <c r="I562" s="8" t="s">
        <v>7</v>
      </c>
      <c r="J562" s="6" t="s">
        <v>11</v>
      </c>
      <c r="K562" s="7" t="s">
        <v>12</v>
      </c>
    </row>
    <row r="563" spans="1:11" x14ac:dyDescent="0.25">
      <c r="A563" s="5">
        <v>1</v>
      </c>
      <c r="B563" s="6">
        <f>B548</f>
        <v>4</v>
      </c>
      <c r="C563" s="6">
        <f>C548</f>
        <v>3</v>
      </c>
      <c r="D563" s="8">
        <f>B563*B559+C563*C559+D559</f>
        <v>1.3999999999999941</v>
      </c>
      <c r="E563" s="6">
        <f>IF(D563&gt;=0,$F$1,$E$1)</f>
        <v>1</v>
      </c>
      <c r="F563" s="6">
        <f>$F$8</f>
        <v>1</v>
      </c>
      <c r="G563" s="20" t="str">
        <f>IF(E563&gt;0,"A","B")</f>
        <v>A</v>
      </c>
      <c r="H563" s="20" t="str">
        <f>IF(F563&gt;0,"A","B")</f>
        <v>A</v>
      </c>
      <c r="I563" s="8">
        <f t="shared" ref="I563:I568" si="402">F563-E563</f>
        <v>0</v>
      </c>
      <c r="J563" s="8">
        <f t="shared" ref="J563:J568" si="403">$C$1*I563*B563</f>
        <v>0</v>
      </c>
      <c r="K563" s="9">
        <f t="shared" ref="K563:K568" si="404">$C$1*I563*C563</f>
        <v>0</v>
      </c>
    </row>
    <row r="564" spans="1:11" x14ac:dyDescent="0.25">
      <c r="A564" s="5">
        <v>2</v>
      </c>
      <c r="B564" s="6">
        <f t="shared" ref="B564:C564" si="405">B549</f>
        <v>1</v>
      </c>
      <c r="C564" s="6">
        <f t="shared" si="405"/>
        <v>1</v>
      </c>
      <c r="D564" s="8">
        <f>B564*B559+C564*C559+D559</f>
        <v>-0.29666666666666841</v>
      </c>
      <c r="E564" s="6">
        <f t="shared" ref="E564:E568" si="406">IF(D564&gt;=0,$F$1,$E$1)</f>
        <v>-1</v>
      </c>
      <c r="F564" s="6">
        <f>$F$9</f>
        <v>-1</v>
      </c>
      <c r="G564" s="20" t="str">
        <f t="shared" ref="G564:G568" si="407">IF(E564&gt;0,"A","B")</f>
        <v>B</v>
      </c>
      <c r="H564" s="20" t="str">
        <f t="shared" ref="H564:H568" si="408">IF(F564&gt;0,"A","B")</f>
        <v>B</v>
      </c>
      <c r="I564" s="8">
        <f t="shared" si="402"/>
        <v>0</v>
      </c>
      <c r="J564" s="8">
        <f t="shared" si="403"/>
        <v>0</v>
      </c>
      <c r="K564" s="9">
        <f t="shared" si="404"/>
        <v>0</v>
      </c>
    </row>
    <row r="565" spans="1:11" x14ac:dyDescent="0.25">
      <c r="A565" s="5">
        <v>3</v>
      </c>
      <c r="B565" s="6">
        <f t="shared" ref="B565:C565" si="409">B550</f>
        <v>2</v>
      </c>
      <c r="C565" s="6">
        <f t="shared" si="409"/>
        <v>2</v>
      </c>
      <c r="D565" s="8">
        <f>B565*B559+C565*C559+D559</f>
        <v>0.40666666666666318</v>
      </c>
      <c r="E565" s="6">
        <f t="shared" si="406"/>
        <v>1</v>
      </c>
      <c r="F565" s="6">
        <f>$F$10</f>
        <v>-1</v>
      </c>
      <c r="G565" s="20" t="str">
        <f t="shared" si="407"/>
        <v>A</v>
      </c>
      <c r="H565" s="20" t="str">
        <f t="shared" si="408"/>
        <v>B</v>
      </c>
      <c r="I565" s="8">
        <f t="shared" si="402"/>
        <v>-2</v>
      </c>
      <c r="J565" s="8">
        <f t="shared" si="403"/>
        <v>-0.04</v>
      </c>
      <c r="K565" s="9">
        <f t="shared" si="404"/>
        <v>-0.04</v>
      </c>
    </row>
    <row r="566" spans="1:11" x14ac:dyDescent="0.25">
      <c r="A566" s="5">
        <v>4</v>
      </c>
      <c r="B566" s="6">
        <f t="shared" ref="B566:C566" si="410">B551</f>
        <v>2</v>
      </c>
      <c r="C566" s="6">
        <f t="shared" si="410"/>
        <v>3</v>
      </c>
      <c r="D566" s="8">
        <f>B566*B559+C566*C559+D559</f>
        <v>0.8199999999999954</v>
      </c>
      <c r="E566" s="6">
        <f t="shared" si="406"/>
        <v>1</v>
      </c>
      <c r="F566" s="6">
        <f>$F$11</f>
        <v>1</v>
      </c>
      <c r="G566" s="20" t="str">
        <f t="shared" si="407"/>
        <v>A</v>
      </c>
      <c r="H566" s="20" t="str">
        <f t="shared" si="408"/>
        <v>A</v>
      </c>
      <c r="I566" s="8">
        <f t="shared" si="402"/>
        <v>0</v>
      </c>
      <c r="J566" s="8">
        <f t="shared" si="403"/>
        <v>0</v>
      </c>
      <c r="K566" s="9">
        <f t="shared" si="404"/>
        <v>0</v>
      </c>
    </row>
    <row r="567" spans="1:11" x14ac:dyDescent="0.25">
      <c r="A567" s="5">
        <v>5</v>
      </c>
      <c r="B567" s="6">
        <f t="shared" ref="B567:C567" si="411">B552</f>
        <v>5</v>
      </c>
      <c r="C567" s="6">
        <f t="shared" si="411"/>
        <v>3</v>
      </c>
      <c r="D567" s="8">
        <f>B567*B559+C567*C559+D559</f>
        <v>1.6899999999999942</v>
      </c>
      <c r="E567" s="6">
        <f t="shared" si="406"/>
        <v>1</v>
      </c>
      <c r="F567" s="6">
        <f>$F$12</f>
        <v>1</v>
      </c>
      <c r="G567" s="20" t="str">
        <f t="shared" si="407"/>
        <v>A</v>
      </c>
      <c r="H567" s="20" t="str">
        <f t="shared" si="408"/>
        <v>A</v>
      </c>
      <c r="I567" s="8">
        <f t="shared" si="402"/>
        <v>0</v>
      </c>
      <c r="J567" s="8">
        <f t="shared" si="403"/>
        <v>0</v>
      </c>
      <c r="K567" s="9">
        <f t="shared" si="404"/>
        <v>0</v>
      </c>
    </row>
    <row r="568" spans="1:11" x14ac:dyDescent="0.25">
      <c r="A568" s="5">
        <v>6</v>
      </c>
      <c r="B568" s="6">
        <f t="shared" ref="B568:C568" si="412">B553</f>
        <v>3</v>
      </c>
      <c r="C568" s="6">
        <f t="shared" si="412"/>
        <v>2</v>
      </c>
      <c r="D568" s="8">
        <f>B568*B559+C568*C559+D559</f>
        <v>0.69666666666666277</v>
      </c>
      <c r="E568" s="6">
        <f t="shared" si="406"/>
        <v>1</v>
      </c>
      <c r="F568" s="6">
        <f>$F$13</f>
        <v>-1</v>
      </c>
      <c r="G568" s="20" t="str">
        <f t="shared" si="407"/>
        <v>A</v>
      </c>
      <c r="H568" s="20" t="str">
        <f t="shared" si="408"/>
        <v>B</v>
      </c>
      <c r="I568" s="8">
        <f t="shared" si="402"/>
        <v>-2</v>
      </c>
      <c r="J568" s="8">
        <f t="shared" si="403"/>
        <v>-0.06</v>
      </c>
      <c r="K568" s="9">
        <f t="shared" si="404"/>
        <v>-0.04</v>
      </c>
    </row>
    <row r="569" spans="1:11" x14ac:dyDescent="0.25">
      <c r="A569" s="5"/>
      <c r="B569" s="6"/>
      <c r="C569" s="6"/>
      <c r="D569" s="6"/>
      <c r="E569" s="6"/>
      <c r="F569" s="6"/>
      <c r="G569" s="20" t="s">
        <v>8</v>
      </c>
      <c r="H569" s="20"/>
      <c r="I569" s="8">
        <f>SUM(I563:I568)</f>
        <v>-4</v>
      </c>
      <c r="J569" s="8">
        <f>AVERAGE(J563:J568)</f>
        <v>-1.6666666666666666E-2</v>
      </c>
      <c r="K569" s="9">
        <f>AVERAGE(K563:K568)</f>
        <v>-1.3333333333333334E-2</v>
      </c>
    </row>
    <row r="570" spans="1:11" x14ac:dyDescent="0.25">
      <c r="A570" s="5"/>
      <c r="B570" s="6"/>
      <c r="C570" s="6"/>
      <c r="D570" s="6"/>
      <c r="E570" s="6"/>
      <c r="F570" s="6"/>
      <c r="G570" s="20" t="s">
        <v>9</v>
      </c>
      <c r="H570" s="20"/>
      <c r="I570" s="8">
        <f>SUMSQ(I563:I568)</f>
        <v>8</v>
      </c>
      <c r="J570" s="10"/>
      <c r="K570" s="15"/>
    </row>
    <row r="571" spans="1:11" x14ac:dyDescent="0.25">
      <c r="A571" s="11"/>
      <c r="B571" s="12"/>
      <c r="C571" s="12"/>
      <c r="D571" s="12"/>
      <c r="E571" s="12"/>
      <c r="F571" s="12"/>
      <c r="G571" s="21"/>
      <c r="H571" s="21"/>
      <c r="I571" s="18"/>
      <c r="J571" s="13"/>
      <c r="K571" s="16"/>
    </row>
    <row r="572" spans="1:11" x14ac:dyDescent="0.25">
      <c r="A572" s="2" t="s">
        <v>13</v>
      </c>
      <c r="B572" s="3">
        <f>B557+1</f>
        <v>39</v>
      </c>
      <c r="C572" s="3"/>
      <c r="D572" s="3"/>
      <c r="E572" s="3"/>
      <c r="F572" s="3"/>
      <c r="G572" s="19"/>
      <c r="H572" s="19"/>
      <c r="I572" s="17"/>
      <c r="J572" s="3"/>
      <c r="K572" s="4"/>
    </row>
    <row r="573" spans="1:11" x14ac:dyDescent="0.25">
      <c r="A573" s="5"/>
      <c r="B573" s="6" t="s">
        <v>4</v>
      </c>
      <c r="C573" s="6" t="s">
        <v>5</v>
      </c>
      <c r="D573" s="6" t="s">
        <v>6</v>
      </c>
      <c r="E573" s="6"/>
      <c r="F573" s="6"/>
      <c r="G573" s="20"/>
      <c r="H573" s="20"/>
      <c r="I573" s="8"/>
      <c r="J573" s="6"/>
      <c r="K573" s="7"/>
    </row>
    <row r="574" spans="1:11" x14ac:dyDescent="0.25">
      <c r="A574" s="5">
        <v>1</v>
      </c>
      <c r="B574" s="14">
        <f>B559+J569</f>
        <v>0.27333333333333287</v>
      </c>
      <c r="C574" s="14">
        <f>C559+K569</f>
        <v>0.3999999999999988</v>
      </c>
      <c r="D574" s="6">
        <f>D559</f>
        <v>-1</v>
      </c>
      <c r="E574" s="6"/>
      <c r="F574" s="6"/>
      <c r="G574" s="20"/>
      <c r="H574" s="20"/>
      <c r="I574" s="8"/>
      <c r="J574" s="6"/>
      <c r="K574" s="7"/>
    </row>
    <row r="575" spans="1:11" x14ac:dyDescent="0.25">
      <c r="A575" s="5"/>
      <c r="B575" s="6"/>
      <c r="C575" s="6"/>
      <c r="D575" s="6"/>
      <c r="E575" s="6"/>
      <c r="F575" s="6"/>
      <c r="G575" s="20"/>
      <c r="H575" s="20"/>
      <c r="I575" s="8"/>
      <c r="J575" s="6"/>
      <c r="K575" s="7"/>
    </row>
    <row r="576" spans="1:11" x14ac:dyDescent="0.25">
      <c r="A576" s="5"/>
      <c r="B576" s="6"/>
      <c r="C576" s="6"/>
      <c r="D576" s="6"/>
      <c r="E576" s="6"/>
      <c r="F576" s="6"/>
      <c r="G576" s="20"/>
      <c r="H576" s="20"/>
      <c r="I576" s="8"/>
      <c r="J576" s="6"/>
      <c r="K576" s="7"/>
    </row>
    <row r="577" spans="1:11" x14ac:dyDescent="0.25">
      <c r="A577" s="5" t="s">
        <v>10</v>
      </c>
      <c r="B577" s="6" t="s">
        <v>2</v>
      </c>
      <c r="C577" s="6" t="s">
        <v>3</v>
      </c>
      <c r="D577" s="6" t="s">
        <v>0</v>
      </c>
      <c r="E577" s="6" t="s">
        <v>15</v>
      </c>
      <c r="F577" s="6" t="s">
        <v>1</v>
      </c>
      <c r="G577" s="20" t="s">
        <v>17</v>
      </c>
      <c r="H577" s="20" t="s">
        <v>16</v>
      </c>
      <c r="I577" s="8" t="s">
        <v>7</v>
      </c>
      <c r="J577" s="6" t="s">
        <v>11</v>
      </c>
      <c r="K577" s="7" t="s">
        <v>12</v>
      </c>
    </row>
    <row r="578" spans="1:11" x14ac:dyDescent="0.25">
      <c r="A578" s="5">
        <v>1</v>
      </c>
      <c r="B578" s="6">
        <f>B563</f>
        <v>4</v>
      </c>
      <c r="C578" s="6">
        <f>C563</f>
        <v>3</v>
      </c>
      <c r="D578" s="8">
        <f>B578*B574+C578*C574+D574</f>
        <v>1.2933333333333277</v>
      </c>
      <c r="E578" s="6">
        <f>IF(D578&gt;=0,$F$1,$E$1)</f>
        <v>1</v>
      </c>
      <c r="F578" s="6">
        <f>$F$8</f>
        <v>1</v>
      </c>
      <c r="G578" s="20" t="str">
        <f>IF(E578&gt;0,"A","B")</f>
        <v>A</v>
      </c>
      <c r="H578" s="20" t="str">
        <f>IF(F578&gt;0,"A","B")</f>
        <v>A</v>
      </c>
      <c r="I578" s="8">
        <f t="shared" ref="I578:I583" si="413">F578-E578</f>
        <v>0</v>
      </c>
      <c r="J578" s="8">
        <f t="shared" ref="J578:J583" si="414">$C$1*I578*B578</f>
        <v>0</v>
      </c>
      <c r="K578" s="9">
        <f t="shared" ref="K578:K583" si="415">$C$1*I578*C578</f>
        <v>0</v>
      </c>
    </row>
    <row r="579" spans="1:11" x14ac:dyDescent="0.25">
      <c r="A579" s="5">
        <v>2</v>
      </c>
      <c r="B579" s="6">
        <f t="shared" ref="B579:C579" si="416">B564</f>
        <v>1</v>
      </c>
      <c r="C579" s="6">
        <f t="shared" si="416"/>
        <v>1</v>
      </c>
      <c r="D579" s="8">
        <f>B579*B574+C579*C574+D574</f>
        <v>-0.32666666666666833</v>
      </c>
      <c r="E579" s="6">
        <f t="shared" ref="E579:E583" si="417">IF(D579&gt;=0,$F$1,$E$1)</f>
        <v>-1</v>
      </c>
      <c r="F579" s="6">
        <f>$F$9</f>
        <v>-1</v>
      </c>
      <c r="G579" s="20" t="str">
        <f t="shared" ref="G579:G583" si="418">IF(E579&gt;0,"A","B")</f>
        <v>B</v>
      </c>
      <c r="H579" s="20" t="str">
        <f t="shared" ref="H579:H583" si="419">IF(F579&gt;0,"A","B")</f>
        <v>B</v>
      </c>
      <c r="I579" s="8">
        <f t="shared" si="413"/>
        <v>0</v>
      </c>
      <c r="J579" s="8">
        <f t="shared" si="414"/>
        <v>0</v>
      </c>
      <c r="K579" s="9">
        <f t="shared" si="415"/>
        <v>0</v>
      </c>
    </row>
    <row r="580" spans="1:11" x14ac:dyDescent="0.25">
      <c r="A580" s="5">
        <v>3</v>
      </c>
      <c r="B580" s="6">
        <f t="shared" ref="B580:C580" si="420">B565</f>
        <v>2</v>
      </c>
      <c r="C580" s="6">
        <f t="shared" si="420"/>
        <v>2</v>
      </c>
      <c r="D580" s="8">
        <f>B580*B574+C580*C574+D574</f>
        <v>0.34666666666666335</v>
      </c>
      <c r="E580" s="6">
        <f t="shared" si="417"/>
        <v>1</v>
      </c>
      <c r="F580" s="6">
        <f>$F$10</f>
        <v>-1</v>
      </c>
      <c r="G580" s="20" t="str">
        <f t="shared" si="418"/>
        <v>A</v>
      </c>
      <c r="H580" s="20" t="str">
        <f t="shared" si="419"/>
        <v>B</v>
      </c>
      <c r="I580" s="8">
        <f t="shared" si="413"/>
        <v>-2</v>
      </c>
      <c r="J580" s="8">
        <f t="shared" si="414"/>
        <v>-0.04</v>
      </c>
      <c r="K580" s="9">
        <f t="shared" si="415"/>
        <v>-0.04</v>
      </c>
    </row>
    <row r="581" spans="1:11" x14ac:dyDescent="0.25">
      <c r="A581" s="5">
        <v>4</v>
      </c>
      <c r="B581" s="6">
        <f t="shared" ref="B581:C581" si="421">B566</f>
        <v>2</v>
      </c>
      <c r="C581" s="6">
        <f t="shared" si="421"/>
        <v>3</v>
      </c>
      <c r="D581" s="8">
        <f>B581*B574+C581*C574+D574</f>
        <v>0.74666666666666215</v>
      </c>
      <c r="E581" s="6">
        <f t="shared" si="417"/>
        <v>1</v>
      </c>
      <c r="F581" s="6">
        <f>$F$11</f>
        <v>1</v>
      </c>
      <c r="G581" s="20" t="str">
        <f t="shared" si="418"/>
        <v>A</v>
      </c>
      <c r="H581" s="20" t="str">
        <f t="shared" si="419"/>
        <v>A</v>
      </c>
      <c r="I581" s="8">
        <f t="shared" si="413"/>
        <v>0</v>
      </c>
      <c r="J581" s="8">
        <f t="shared" si="414"/>
        <v>0</v>
      </c>
      <c r="K581" s="9">
        <f t="shared" si="415"/>
        <v>0</v>
      </c>
    </row>
    <row r="582" spans="1:11" x14ac:dyDescent="0.25">
      <c r="A582" s="5">
        <v>5</v>
      </c>
      <c r="B582" s="6">
        <f t="shared" ref="B582:C582" si="422">B567</f>
        <v>5</v>
      </c>
      <c r="C582" s="6">
        <f t="shared" si="422"/>
        <v>3</v>
      </c>
      <c r="D582" s="8">
        <f>B582*B574+C582*C574+D574</f>
        <v>1.5666666666666611</v>
      </c>
      <c r="E582" s="6">
        <f t="shared" si="417"/>
        <v>1</v>
      </c>
      <c r="F582" s="6">
        <f>$F$12</f>
        <v>1</v>
      </c>
      <c r="G582" s="20" t="str">
        <f t="shared" si="418"/>
        <v>A</v>
      </c>
      <c r="H582" s="20" t="str">
        <f t="shared" si="419"/>
        <v>A</v>
      </c>
      <c r="I582" s="8">
        <f t="shared" si="413"/>
        <v>0</v>
      </c>
      <c r="J582" s="8">
        <f t="shared" si="414"/>
        <v>0</v>
      </c>
      <c r="K582" s="9">
        <f t="shared" si="415"/>
        <v>0</v>
      </c>
    </row>
    <row r="583" spans="1:11" x14ac:dyDescent="0.25">
      <c r="A583" s="5">
        <v>6</v>
      </c>
      <c r="B583" s="6">
        <f t="shared" ref="B583:C583" si="423">B568</f>
        <v>3</v>
      </c>
      <c r="C583" s="6">
        <f t="shared" si="423"/>
        <v>2</v>
      </c>
      <c r="D583" s="8">
        <f>B583*B574+C583*C574+D574</f>
        <v>0.61999999999999611</v>
      </c>
      <c r="E583" s="6">
        <f t="shared" si="417"/>
        <v>1</v>
      </c>
      <c r="F583" s="6">
        <f>$F$13</f>
        <v>-1</v>
      </c>
      <c r="G583" s="20" t="str">
        <f t="shared" si="418"/>
        <v>A</v>
      </c>
      <c r="H583" s="20" t="str">
        <f t="shared" si="419"/>
        <v>B</v>
      </c>
      <c r="I583" s="8">
        <f t="shared" si="413"/>
        <v>-2</v>
      </c>
      <c r="J583" s="8">
        <f t="shared" si="414"/>
        <v>-0.06</v>
      </c>
      <c r="K583" s="9">
        <f t="shared" si="415"/>
        <v>-0.04</v>
      </c>
    </row>
    <row r="584" spans="1:11" x14ac:dyDescent="0.25">
      <c r="A584" s="5"/>
      <c r="B584" s="6"/>
      <c r="C584" s="6"/>
      <c r="D584" s="6"/>
      <c r="E584" s="6"/>
      <c r="F584" s="6"/>
      <c r="G584" s="20" t="s">
        <v>8</v>
      </c>
      <c r="H584" s="20"/>
      <c r="I584" s="8">
        <f>SUM(I578:I583)</f>
        <v>-4</v>
      </c>
      <c r="J584" s="8">
        <f>AVERAGE(J578:J583)</f>
        <v>-1.6666666666666666E-2</v>
      </c>
      <c r="K584" s="9">
        <f>AVERAGE(K578:K583)</f>
        <v>-1.3333333333333334E-2</v>
      </c>
    </row>
    <row r="585" spans="1:11" x14ac:dyDescent="0.25">
      <c r="A585" s="5"/>
      <c r="B585" s="6"/>
      <c r="C585" s="6"/>
      <c r="D585" s="6"/>
      <c r="E585" s="6"/>
      <c r="F585" s="6"/>
      <c r="G585" s="20" t="s">
        <v>9</v>
      </c>
      <c r="H585" s="20"/>
      <c r="I585" s="8">
        <f>SUMSQ(I578:I583)</f>
        <v>8</v>
      </c>
      <c r="J585" s="10"/>
      <c r="K585" s="15"/>
    </row>
    <row r="586" spans="1:11" x14ac:dyDescent="0.25">
      <c r="A586" s="11"/>
      <c r="B586" s="12"/>
      <c r="C586" s="12"/>
      <c r="D586" s="12"/>
      <c r="E586" s="12"/>
      <c r="F586" s="12"/>
      <c r="G586" s="21"/>
      <c r="H586" s="21"/>
      <c r="I586" s="18"/>
      <c r="J586" s="13"/>
      <c r="K586" s="16"/>
    </row>
    <row r="587" spans="1:11" x14ac:dyDescent="0.25">
      <c r="A587" s="2" t="s">
        <v>13</v>
      </c>
      <c r="B587" s="3">
        <f>B572+1</f>
        <v>40</v>
      </c>
      <c r="C587" s="3"/>
      <c r="D587" s="3"/>
      <c r="E587" s="3"/>
      <c r="F587" s="3"/>
      <c r="G587" s="19"/>
      <c r="H587" s="19"/>
      <c r="I587" s="17"/>
      <c r="J587" s="3"/>
      <c r="K587" s="4"/>
    </row>
    <row r="588" spans="1:11" x14ac:dyDescent="0.25">
      <c r="A588" s="5"/>
      <c r="B588" s="6" t="s">
        <v>4</v>
      </c>
      <c r="C588" s="6" t="s">
        <v>5</v>
      </c>
      <c r="D588" s="6" t="s">
        <v>6</v>
      </c>
      <c r="E588" s="6"/>
      <c r="F588" s="6"/>
      <c r="G588" s="20"/>
      <c r="H588" s="20"/>
      <c r="I588" s="8"/>
      <c r="J588" s="6"/>
      <c r="K588" s="7"/>
    </row>
    <row r="589" spans="1:11" x14ac:dyDescent="0.25">
      <c r="A589" s="5">
        <v>1</v>
      </c>
      <c r="B589" s="14">
        <f>B574+J584</f>
        <v>0.25666666666666621</v>
      </c>
      <c r="C589" s="14">
        <f>C574+K584</f>
        <v>0.38666666666666549</v>
      </c>
      <c r="D589" s="6">
        <f>D574</f>
        <v>-1</v>
      </c>
      <c r="E589" s="6"/>
      <c r="F589" s="6"/>
      <c r="G589" s="20"/>
      <c r="H589" s="20"/>
      <c r="I589" s="8"/>
      <c r="J589" s="6"/>
      <c r="K589" s="7"/>
    </row>
    <row r="590" spans="1:11" x14ac:dyDescent="0.25">
      <c r="A590" s="5"/>
      <c r="B590" s="6"/>
      <c r="C590" s="6"/>
      <c r="D590" s="6"/>
      <c r="E590" s="6"/>
      <c r="F590" s="6"/>
      <c r="G590" s="20"/>
      <c r="H590" s="20"/>
      <c r="I590" s="8"/>
      <c r="J590" s="6"/>
      <c r="K590" s="7"/>
    </row>
    <row r="591" spans="1:11" x14ac:dyDescent="0.25">
      <c r="A591" s="5"/>
      <c r="B591" s="6"/>
      <c r="C591" s="6"/>
      <c r="D591" s="6"/>
      <c r="E591" s="6"/>
      <c r="F591" s="6"/>
      <c r="G591" s="20"/>
      <c r="H591" s="20"/>
      <c r="I591" s="8"/>
      <c r="J591" s="6"/>
      <c r="K591" s="7"/>
    </row>
    <row r="592" spans="1:11" x14ac:dyDescent="0.25">
      <c r="A592" s="5" t="s">
        <v>10</v>
      </c>
      <c r="B592" s="6" t="s">
        <v>2</v>
      </c>
      <c r="C592" s="6" t="s">
        <v>3</v>
      </c>
      <c r="D592" s="6" t="s">
        <v>0</v>
      </c>
      <c r="E592" s="6" t="s">
        <v>15</v>
      </c>
      <c r="F592" s="6" t="s">
        <v>1</v>
      </c>
      <c r="G592" s="20" t="s">
        <v>17</v>
      </c>
      <c r="H592" s="20" t="s">
        <v>16</v>
      </c>
      <c r="I592" s="8" t="s">
        <v>7</v>
      </c>
      <c r="J592" s="6" t="s">
        <v>11</v>
      </c>
      <c r="K592" s="7" t="s">
        <v>12</v>
      </c>
    </row>
    <row r="593" spans="1:11" x14ac:dyDescent="0.25">
      <c r="A593" s="5">
        <v>1</v>
      </c>
      <c r="B593" s="6">
        <f>B578</f>
        <v>4</v>
      </c>
      <c r="C593" s="6">
        <f>C578</f>
        <v>3</v>
      </c>
      <c r="D593" s="8">
        <f>B593*B589+C593*C589+D589</f>
        <v>1.1866666666666612</v>
      </c>
      <c r="E593" s="6">
        <f>IF(D593&gt;=0,$F$1,$E$1)</f>
        <v>1</v>
      </c>
      <c r="F593" s="6">
        <f>$F$8</f>
        <v>1</v>
      </c>
      <c r="G593" s="20" t="str">
        <f>IF(E593&gt;0,"A","B")</f>
        <v>A</v>
      </c>
      <c r="H593" s="20" t="str">
        <f>IF(F593&gt;0,"A","B")</f>
        <v>A</v>
      </c>
      <c r="I593" s="8">
        <f t="shared" ref="I593:I598" si="424">F593-E593</f>
        <v>0</v>
      </c>
      <c r="J593" s="8">
        <f t="shared" ref="J593:J598" si="425">$C$1*I593*B593</f>
        <v>0</v>
      </c>
      <c r="K593" s="9">
        <f t="shared" ref="K593:K598" si="426">$C$1*I593*C593</f>
        <v>0</v>
      </c>
    </row>
    <row r="594" spans="1:11" x14ac:dyDescent="0.25">
      <c r="A594" s="5">
        <v>2</v>
      </c>
      <c r="B594" s="6">
        <f t="shared" ref="B594:C594" si="427">B579</f>
        <v>1</v>
      </c>
      <c r="C594" s="6">
        <f t="shared" si="427"/>
        <v>1</v>
      </c>
      <c r="D594" s="8">
        <f>B594*B589+C594*C589+D589</f>
        <v>-0.35666666666666824</v>
      </c>
      <c r="E594" s="6">
        <f t="shared" ref="E594:E598" si="428">IF(D594&gt;=0,$F$1,$E$1)</f>
        <v>-1</v>
      </c>
      <c r="F594" s="6">
        <f>$F$9</f>
        <v>-1</v>
      </c>
      <c r="G594" s="20" t="str">
        <f t="shared" ref="G594:G598" si="429">IF(E594&gt;0,"A","B")</f>
        <v>B</v>
      </c>
      <c r="H594" s="20" t="str">
        <f t="shared" ref="H594:H598" si="430">IF(F594&gt;0,"A","B")</f>
        <v>B</v>
      </c>
      <c r="I594" s="8">
        <f t="shared" si="424"/>
        <v>0</v>
      </c>
      <c r="J594" s="8">
        <f t="shared" si="425"/>
        <v>0</v>
      </c>
      <c r="K594" s="9">
        <f t="shared" si="426"/>
        <v>0</v>
      </c>
    </row>
    <row r="595" spans="1:11" x14ac:dyDescent="0.25">
      <c r="A595" s="5">
        <v>3</v>
      </c>
      <c r="B595" s="6">
        <f t="shared" ref="B595:C595" si="431">B580</f>
        <v>2</v>
      </c>
      <c r="C595" s="6">
        <f t="shared" si="431"/>
        <v>2</v>
      </c>
      <c r="D595" s="8">
        <f>B595*B589+C595*C589+D589</f>
        <v>0.28666666666666352</v>
      </c>
      <c r="E595" s="6">
        <f t="shared" si="428"/>
        <v>1</v>
      </c>
      <c r="F595" s="6">
        <f>$F$10</f>
        <v>-1</v>
      </c>
      <c r="G595" s="20" t="str">
        <f t="shared" si="429"/>
        <v>A</v>
      </c>
      <c r="H595" s="20" t="str">
        <f t="shared" si="430"/>
        <v>B</v>
      </c>
      <c r="I595" s="8">
        <f t="shared" si="424"/>
        <v>-2</v>
      </c>
      <c r="J595" s="8">
        <f t="shared" si="425"/>
        <v>-0.04</v>
      </c>
      <c r="K595" s="9">
        <f t="shared" si="426"/>
        <v>-0.04</v>
      </c>
    </row>
    <row r="596" spans="1:11" x14ac:dyDescent="0.25">
      <c r="A596" s="5">
        <v>4</v>
      </c>
      <c r="B596" s="6">
        <f t="shared" ref="B596:C596" si="432">B581</f>
        <v>2</v>
      </c>
      <c r="C596" s="6">
        <f t="shared" si="432"/>
        <v>3</v>
      </c>
      <c r="D596" s="8">
        <f>B596*B589+C596*C589+D589</f>
        <v>0.6733333333333289</v>
      </c>
      <c r="E596" s="6">
        <f t="shared" si="428"/>
        <v>1</v>
      </c>
      <c r="F596" s="6">
        <f>$F$11</f>
        <v>1</v>
      </c>
      <c r="G596" s="20" t="str">
        <f t="shared" si="429"/>
        <v>A</v>
      </c>
      <c r="H596" s="20" t="str">
        <f t="shared" si="430"/>
        <v>A</v>
      </c>
      <c r="I596" s="8">
        <f t="shared" si="424"/>
        <v>0</v>
      </c>
      <c r="J596" s="8">
        <f t="shared" si="425"/>
        <v>0</v>
      </c>
      <c r="K596" s="9">
        <f t="shared" si="426"/>
        <v>0</v>
      </c>
    </row>
    <row r="597" spans="1:11" x14ac:dyDescent="0.25">
      <c r="A597" s="5">
        <v>5</v>
      </c>
      <c r="B597" s="6">
        <f t="shared" ref="B597:C597" si="433">B582</f>
        <v>5</v>
      </c>
      <c r="C597" s="6">
        <f t="shared" si="433"/>
        <v>3</v>
      </c>
      <c r="D597" s="8">
        <f>B597*B589+C597*C589+D589</f>
        <v>1.4433333333333276</v>
      </c>
      <c r="E597" s="6">
        <f t="shared" si="428"/>
        <v>1</v>
      </c>
      <c r="F597" s="6">
        <f>$F$12</f>
        <v>1</v>
      </c>
      <c r="G597" s="20" t="str">
        <f t="shared" si="429"/>
        <v>A</v>
      </c>
      <c r="H597" s="20" t="str">
        <f t="shared" si="430"/>
        <v>A</v>
      </c>
      <c r="I597" s="8">
        <f t="shared" si="424"/>
        <v>0</v>
      </c>
      <c r="J597" s="8">
        <f t="shared" si="425"/>
        <v>0</v>
      </c>
      <c r="K597" s="9">
        <f t="shared" si="426"/>
        <v>0</v>
      </c>
    </row>
    <row r="598" spans="1:11" x14ac:dyDescent="0.25">
      <c r="A598" s="5">
        <v>6</v>
      </c>
      <c r="B598" s="6">
        <f t="shared" ref="B598:C598" si="434">B583</f>
        <v>3</v>
      </c>
      <c r="C598" s="6">
        <f t="shared" si="434"/>
        <v>2</v>
      </c>
      <c r="D598" s="8">
        <f>B598*B589+C598*C589+D589</f>
        <v>0.54333333333332967</v>
      </c>
      <c r="E598" s="6">
        <f t="shared" si="428"/>
        <v>1</v>
      </c>
      <c r="F598" s="6">
        <f>$F$13</f>
        <v>-1</v>
      </c>
      <c r="G598" s="20" t="str">
        <f t="shared" si="429"/>
        <v>A</v>
      </c>
      <c r="H598" s="20" t="str">
        <f t="shared" si="430"/>
        <v>B</v>
      </c>
      <c r="I598" s="8">
        <f t="shared" si="424"/>
        <v>-2</v>
      </c>
      <c r="J598" s="8">
        <f t="shared" si="425"/>
        <v>-0.06</v>
      </c>
      <c r="K598" s="9">
        <f t="shared" si="426"/>
        <v>-0.04</v>
      </c>
    </row>
    <row r="599" spans="1:11" x14ac:dyDescent="0.25">
      <c r="A599" s="5"/>
      <c r="B599" s="6"/>
      <c r="C599" s="6"/>
      <c r="D599" s="6"/>
      <c r="E599" s="6"/>
      <c r="F599" s="6"/>
      <c r="G599" s="20" t="s">
        <v>8</v>
      </c>
      <c r="H599" s="20"/>
      <c r="I599" s="8">
        <f>SUM(I593:I598)</f>
        <v>-4</v>
      </c>
      <c r="J599" s="8">
        <f>AVERAGE(J593:J598)</f>
        <v>-1.6666666666666666E-2</v>
      </c>
      <c r="K599" s="9">
        <f>AVERAGE(K593:K598)</f>
        <v>-1.3333333333333334E-2</v>
      </c>
    </row>
    <row r="600" spans="1:11" x14ac:dyDescent="0.25">
      <c r="A600" s="5"/>
      <c r="B600" s="6"/>
      <c r="C600" s="6"/>
      <c r="D600" s="6"/>
      <c r="E600" s="6"/>
      <c r="F600" s="6"/>
      <c r="G600" s="20" t="s">
        <v>9</v>
      </c>
      <c r="H600" s="20"/>
      <c r="I600" s="8">
        <f>SUMSQ(I593:I598)</f>
        <v>8</v>
      </c>
      <c r="J600" s="10"/>
      <c r="K600" s="15"/>
    </row>
    <row r="601" spans="1:11" x14ac:dyDescent="0.25">
      <c r="A601" s="11"/>
      <c r="B601" s="12"/>
      <c r="C601" s="12"/>
      <c r="D601" s="12"/>
      <c r="E601" s="12"/>
      <c r="F601" s="12"/>
      <c r="G601" s="21"/>
      <c r="H601" s="21"/>
      <c r="I601" s="18"/>
      <c r="J601" s="13"/>
      <c r="K601" s="16"/>
    </row>
    <row r="602" spans="1:11" x14ac:dyDescent="0.25">
      <c r="A602" s="2" t="s">
        <v>13</v>
      </c>
      <c r="B602" s="3">
        <f>B587+1</f>
        <v>41</v>
      </c>
      <c r="C602" s="3"/>
      <c r="D602" s="3"/>
      <c r="E602" s="3"/>
      <c r="F602" s="3"/>
      <c r="G602" s="19"/>
      <c r="H602" s="19"/>
      <c r="I602" s="17"/>
      <c r="J602" s="3"/>
      <c r="K602" s="4"/>
    </row>
    <row r="603" spans="1:11" x14ac:dyDescent="0.25">
      <c r="A603" s="5"/>
      <c r="B603" s="6" t="s">
        <v>4</v>
      </c>
      <c r="C603" s="6" t="s">
        <v>5</v>
      </c>
      <c r="D603" s="6" t="s">
        <v>6</v>
      </c>
      <c r="E603" s="6"/>
      <c r="F603" s="6"/>
      <c r="G603" s="20"/>
      <c r="H603" s="20"/>
      <c r="I603" s="8"/>
      <c r="J603" s="6"/>
      <c r="K603" s="7"/>
    </row>
    <row r="604" spans="1:11" x14ac:dyDescent="0.25">
      <c r="A604" s="5">
        <v>1</v>
      </c>
      <c r="B604" s="14">
        <f>B589+J599</f>
        <v>0.23999999999999955</v>
      </c>
      <c r="C604" s="14">
        <f>C589+K599</f>
        <v>0.37333333333333218</v>
      </c>
      <c r="D604" s="6">
        <f>D589</f>
        <v>-1</v>
      </c>
      <c r="E604" s="6"/>
      <c r="F604" s="6"/>
      <c r="G604" s="20"/>
      <c r="H604" s="20"/>
      <c r="I604" s="8"/>
      <c r="J604" s="6"/>
      <c r="K604" s="7"/>
    </row>
    <row r="605" spans="1:11" x14ac:dyDescent="0.25">
      <c r="A605" s="5"/>
      <c r="B605" s="6"/>
      <c r="C605" s="6"/>
      <c r="D605" s="6"/>
      <c r="E605" s="6"/>
      <c r="F605" s="6"/>
      <c r="G605" s="20"/>
      <c r="H605" s="20"/>
      <c r="I605" s="8"/>
      <c r="J605" s="6"/>
      <c r="K605" s="7"/>
    </row>
    <row r="606" spans="1:11" x14ac:dyDescent="0.25">
      <c r="A606" s="5"/>
      <c r="B606" s="6"/>
      <c r="C606" s="6"/>
      <c r="D606" s="6"/>
      <c r="E606" s="6"/>
      <c r="F606" s="6"/>
      <c r="G606" s="20"/>
      <c r="H606" s="20"/>
      <c r="I606" s="8"/>
      <c r="J606" s="6"/>
      <c r="K606" s="7"/>
    </row>
    <row r="607" spans="1:11" x14ac:dyDescent="0.25">
      <c r="A607" s="5" t="s">
        <v>10</v>
      </c>
      <c r="B607" s="6" t="s">
        <v>2</v>
      </c>
      <c r="C607" s="6" t="s">
        <v>3</v>
      </c>
      <c r="D607" s="6" t="s">
        <v>0</v>
      </c>
      <c r="E607" s="6" t="s">
        <v>15</v>
      </c>
      <c r="F607" s="6" t="s">
        <v>1</v>
      </c>
      <c r="G607" s="20" t="s">
        <v>17</v>
      </c>
      <c r="H607" s="20" t="s">
        <v>16</v>
      </c>
      <c r="I607" s="8" t="s">
        <v>7</v>
      </c>
      <c r="J607" s="6" t="s">
        <v>11</v>
      </c>
      <c r="K607" s="7" t="s">
        <v>12</v>
      </c>
    </row>
    <row r="608" spans="1:11" x14ac:dyDescent="0.25">
      <c r="A608" s="5">
        <v>1</v>
      </c>
      <c r="B608" s="6">
        <f>B593</f>
        <v>4</v>
      </c>
      <c r="C608" s="6">
        <f>C593</f>
        <v>3</v>
      </c>
      <c r="D608" s="8">
        <f>B608*B604+C608*C604+D604</f>
        <v>1.0799999999999947</v>
      </c>
      <c r="E608" s="6">
        <f>IF(D608&gt;=0,$F$1,$E$1)</f>
        <v>1</v>
      </c>
      <c r="F608" s="6">
        <f>$F$8</f>
        <v>1</v>
      </c>
      <c r="G608" s="20" t="str">
        <f>IF(E608&gt;0,"A","B")</f>
        <v>A</v>
      </c>
      <c r="H608" s="20" t="str">
        <f>IF(F608&gt;0,"A","B")</f>
        <v>A</v>
      </c>
      <c r="I608" s="8">
        <f t="shared" ref="I608:I613" si="435">F608-E608</f>
        <v>0</v>
      </c>
      <c r="J608" s="8">
        <f t="shared" ref="J608:J613" si="436">$C$1*I608*B608</f>
        <v>0</v>
      </c>
      <c r="K608" s="9">
        <f t="shared" ref="K608:K613" si="437">$C$1*I608*C608</f>
        <v>0</v>
      </c>
    </row>
    <row r="609" spans="1:11" x14ac:dyDescent="0.25">
      <c r="A609" s="5">
        <v>2</v>
      </c>
      <c r="B609" s="6">
        <f t="shared" ref="B609:C609" si="438">B594</f>
        <v>1</v>
      </c>
      <c r="C609" s="6">
        <f t="shared" si="438"/>
        <v>1</v>
      </c>
      <c r="D609" s="8">
        <f>B609*B604+C609*C604+D604</f>
        <v>-0.38666666666666827</v>
      </c>
      <c r="E609" s="6">
        <f t="shared" ref="E609:E613" si="439">IF(D609&gt;=0,$F$1,$E$1)</f>
        <v>-1</v>
      </c>
      <c r="F609" s="6">
        <f>$F$9</f>
        <v>-1</v>
      </c>
      <c r="G609" s="20" t="str">
        <f t="shared" ref="G609:G613" si="440">IF(E609&gt;0,"A","B")</f>
        <v>B</v>
      </c>
      <c r="H609" s="20" t="str">
        <f t="shared" ref="H609:H613" si="441">IF(F609&gt;0,"A","B")</f>
        <v>B</v>
      </c>
      <c r="I609" s="8">
        <f t="shared" si="435"/>
        <v>0</v>
      </c>
      <c r="J609" s="8">
        <f t="shared" si="436"/>
        <v>0</v>
      </c>
      <c r="K609" s="9">
        <f t="shared" si="437"/>
        <v>0</v>
      </c>
    </row>
    <row r="610" spans="1:11" x14ac:dyDescent="0.25">
      <c r="A610" s="5">
        <v>3</v>
      </c>
      <c r="B610" s="6">
        <f t="shared" ref="B610:C610" si="442">B595</f>
        <v>2</v>
      </c>
      <c r="C610" s="6">
        <f t="shared" si="442"/>
        <v>2</v>
      </c>
      <c r="D610" s="8">
        <f>B610*B604+C610*C604+D604</f>
        <v>0.22666666666666346</v>
      </c>
      <c r="E610" s="6">
        <f t="shared" si="439"/>
        <v>1</v>
      </c>
      <c r="F610" s="6">
        <f>$F$10</f>
        <v>-1</v>
      </c>
      <c r="G610" s="20" t="str">
        <f t="shared" si="440"/>
        <v>A</v>
      </c>
      <c r="H610" s="20" t="str">
        <f t="shared" si="441"/>
        <v>B</v>
      </c>
      <c r="I610" s="8">
        <f t="shared" si="435"/>
        <v>-2</v>
      </c>
      <c r="J610" s="8">
        <f t="shared" si="436"/>
        <v>-0.04</v>
      </c>
      <c r="K610" s="9">
        <f t="shared" si="437"/>
        <v>-0.04</v>
      </c>
    </row>
    <row r="611" spans="1:11" x14ac:dyDescent="0.25">
      <c r="A611" s="5">
        <v>4</v>
      </c>
      <c r="B611" s="6">
        <f t="shared" ref="B611:C611" si="443">B596</f>
        <v>2</v>
      </c>
      <c r="C611" s="6">
        <f t="shared" si="443"/>
        <v>3</v>
      </c>
      <c r="D611" s="8">
        <f>B611*B604+C611*C604+D604</f>
        <v>0.59999999999999565</v>
      </c>
      <c r="E611" s="6">
        <f t="shared" si="439"/>
        <v>1</v>
      </c>
      <c r="F611" s="6">
        <f>$F$11</f>
        <v>1</v>
      </c>
      <c r="G611" s="20" t="str">
        <f t="shared" si="440"/>
        <v>A</v>
      </c>
      <c r="H611" s="20" t="str">
        <f t="shared" si="441"/>
        <v>A</v>
      </c>
      <c r="I611" s="8">
        <f t="shared" si="435"/>
        <v>0</v>
      </c>
      <c r="J611" s="8">
        <f t="shared" si="436"/>
        <v>0</v>
      </c>
      <c r="K611" s="9">
        <f t="shared" si="437"/>
        <v>0</v>
      </c>
    </row>
    <row r="612" spans="1:11" x14ac:dyDescent="0.25">
      <c r="A612" s="5">
        <v>5</v>
      </c>
      <c r="B612" s="6">
        <f t="shared" ref="B612:C612" si="444">B597</f>
        <v>5</v>
      </c>
      <c r="C612" s="6">
        <f t="shared" si="444"/>
        <v>3</v>
      </c>
      <c r="D612" s="8">
        <f>B612*B604+C612*C604+D604</f>
        <v>1.3199999999999941</v>
      </c>
      <c r="E612" s="6">
        <f t="shared" si="439"/>
        <v>1</v>
      </c>
      <c r="F612" s="6">
        <f>$F$12</f>
        <v>1</v>
      </c>
      <c r="G612" s="20" t="str">
        <f t="shared" si="440"/>
        <v>A</v>
      </c>
      <c r="H612" s="20" t="str">
        <f t="shared" si="441"/>
        <v>A</v>
      </c>
      <c r="I612" s="8">
        <f t="shared" si="435"/>
        <v>0</v>
      </c>
      <c r="J612" s="8">
        <f t="shared" si="436"/>
        <v>0</v>
      </c>
      <c r="K612" s="9">
        <f t="shared" si="437"/>
        <v>0</v>
      </c>
    </row>
    <row r="613" spans="1:11" x14ac:dyDescent="0.25">
      <c r="A613" s="5">
        <v>6</v>
      </c>
      <c r="B613" s="6">
        <f t="shared" ref="B613:C613" si="445">B598</f>
        <v>3</v>
      </c>
      <c r="C613" s="6">
        <f t="shared" si="445"/>
        <v>2</v>
      </c>
      <c r="D613" s="8">
        <f>B613*B604+C613*C604+D604</f>
        <v>0.46666666666666301</v>
      </c>
      <c r="E613" s="6">
        <f t="shared" si="439"/>
        <v>1</v>
      </c>
      <c r="F613" s="6">
        <f>$F$13</f>
        <v>-1</v>
      </c>
      <c r="G613" s="20" t="str">
        <f t="shared" si="440"/>
        <v>A</v>
      </c>
      <c r="H613" s="20" t="str">
        <f t="shared" si="441"/>
        <v>B</v>
      </c>
      <c r="I613" s="8">
        <f t="shared" si="435"/>
        <v>-2</v>
      </c>
      <c r="J613" s="8">
        <f t="shared" si="436"/>
        <v>-0.06</v>
      </c>
      <c r="K613" s="9">
        <f t="shared" si="437"/>
        <v>-0.04</v>
      </c>
    </row>
    <row r="614" spans="1:11" x14ac:dyDescent="0.25">
      <c r="A614" s="5"/>
      <c r="B614" s="6"/>
      <c r="C614" s="6"/>
      <c r="D614" s="6"/>
      <c r="E614" s="6"/>
      <c r="F614" s="6"/>
      <c r="G614" s="20" t="s">
        <v>8</v>
      </c>
      <c r="H614" s="20"/>
      <c r="I614" s="8">
        <f>SUM(I608:I613)</f>
        <v>-4</v>
      </c>
      <c r="J614" s="8">
        <f>AVERAGE(J608:J613)</f>
        <v>-1.6666666666666666E-2</v>
      </c>
      <c r="K614" s="9">
        <f>AVERAGE(K608:K613)</f>
        <v>-1.3333333333333334E-2</v>
      </c>
    </row>
    <row r="615" spans="1:11" x14ac:dyDescent="0.25">
      <c r="A615" s="5"/>
      <c r="B615" s="6"/>
      <c r="C615" s="6"/>
      <c r="D615" s="6"/>
      <c r="E615" s="6"/>
      <c r="F615" s="6"/>
      <c r="G615" s="20" t="s">
        <v>9</v>
      </c>
      <c r="H615" s="20"/>
      <c r="I615" s="8">
        <f>SUMSQ(I608:I613)</f>
        <v>8</v>
      </c>
      <c r="J615" s="10"/>
      <c r="K615" s="15"/>
    </row>
    <row r="616" spans="1:11" x14ac:dyDescent="0.25">
      <c r="A616" s="11"/>
      <c r="B616" s="12"/>
      <c r="C616" s="12"/>
      <c r="D616" s="12"/>
      <c r="E616" s="12"/>
      <c r="F616" s="12"/>
      <c r="G616" s="21"/>
      <c r="H616" s="21"/>
      <c r="I616" s="18"/>
      <c r="J616" s="13"/>
      <c r="K616" s="16"/>
    </row>
    <row r="617" spans="1:11" x14ac:dyDescent="0.25">
      <c r="A617" s="2" t="s">
        <v>13</v>
      </c>
      <c r="B617" s="3">
        <f>B602+1</f>
        <v>42</v>
      </c>
      <c r="C617" s="3"/>
      <c r="D617" s="3"/>
      <c r="E617" s="3"/>
      <c r="F617" s="3"/>
      <c r="G617" s="19"/>
      <c r="H617" s="19"/>
      <c r="I617" s="17"/>
      <c r="J617" s="3"/>
      <c r="K617" s="4"/>
    </row>
    <row r="618" spans="1:11" x14ac:dyDescent="0.25">
      <c r="A618" s="5"/>
      <c r="B618" s="6" t="s">
        <v>4</v>
      </c>
      <c r="C618" s="6" t="s">
        <v>5</v>
      </c>
      <c r="D618" s="6" t="s">
        <v>6</v>
      </c>
      <c r="E618" s="6"/>
      <c r="F618" s="6"/>
      <c r="G618" s="20"/>
      <c r="H618" s="20"/>
      <c r="I618" s="8"/>
      <c r="J618" s="6"/>
      <c r="K618" s="7"/>
    </row>
    <row r="619" spans="1:11" x14ac:dyDescent="0.25">
      <c r="A619" s="5">
        <v>1</v>
      </c>
      <c r="B619" s="14">
        <f>B604+J614</f>
        <v>0.22333333333333288</v>
      </c>
      <c r="C619" s="14">
        <f>C604+K614</f>
        <v>0.35999999999999888</v>
      </c>
      <c r="D619" s="6">
        <f>D604</f>
        <v>-1</v>
      </c>
      <c r="E619" s="6"/>
      <c r="F619" s="6"/>
      <c r="G619" s="20"/>
      <c r="H619" s="20"/>
      <c r="I619" s="8"/>
      <c r="J619" s="6"/>
      <c r="K619" s="7"/>
    </row>
    <row r="620" spans="1:11" x14ac:dyDescent="0.25">
      <c r="A620" s="5"/>
      <c r="B620" s="6"/>
      <c r="C620" s="6"/>
      <c r="D620" s="6"/>
      <c r="E620" s="6"/>
      <c r="F620" s="6"/>
      <c r="G620" s="20"/>
      <c r="H620" s="20"/>
      <c r="I620" s="8"/>
      <c r="J620" s="6"/>
      <c r="K620" s="7"/>
    </row>
    <row r="621" spans="1:11" x14ac:dyDescent="0.25">
      <c r="A621" s="5"/>
      <c r="B621" s="6"/>
      <c r="C621" s="6"/>
      <c r="D621" s="6"/>
      <c r="E621" s="6"/>
      <c r="F621" s="6"/>
      <c r="G621" s="20"/>
      <c r="H621" s="20"/>
      <c r="I621" s="8"/>
      <c r="J621" s="6"/>
      <c r="K621" s="7"/>
    </row>
    <row r="622" spans="1:11" x14ac:dyDescent="0.25">
      <c r="A622" s="5" t="s">
        <v>10</v>
      </c>
      <c r="B622" s="6" t="s">
        <v>2</v>
      </c>
      <c r="C622" s="6" t="s">
        <v>3</v>
      </c>
      <c r="D622" s="6" t="s">
        <v>0</v>
      </c>
      <c r="E622" s="6" t="s">
        <v>15</v>
      </c>
      <c r="F622" s="6" t="s">
        <v>1</v>
      </c>
      <c r="G622" s="20" t="s">
        <v>17</v>
      </c>
      <c r="H622" s="20" t="s">
        <v>16</v>
      </c>
      <c r="I622" s="8" t="s">
        <v>7</v>
      </c>
      <c r="J622" s="6" t="s">
        <v>11</v>
      </c>
      <c r="K622" s="7" t="s">
        <v>12</v>
      </c>
    </row>
    <row r="623" spans="1:11" x14ac:dyDescent="0.25">
      <c r="A623" s="5">
        <v>1</v>
      </c>
      <c r="B623" s="6">
        <f>B608</f>
        <v>4</v>
      </c>
      <c r="C623" s="6">
        <f>C608</f>
        <v>3</v>
      </c>
      <c r="D623" s="8">
        <f>B623*B619+C623*C619+D619</f>
        <v>0.97333333333332805</v>
      </c>
      <c r="E623" s="6">
        <f>IF(D623&gt;=0,$F$1,$E$1)</f>
        <v>1</v>
      </c>
      <c r="F623" s="6">
        <f>$F$8</f>
        <v>1</v>
      </c>
      <c r="G623" s="20" t="str">
        <f>IF(E623&gt;0,"A","B")</f>
        <v>A</v>
      </c>
      <c r="H623" s="20" t="str">
        <f>IF(F623&gt;0,"A","B")</f>
        <v>A</v>
      </c>
      <c r="I623" s="8">
        <f t="shared" ref="I623:I628" si="446">F623-E623</f>
        <v>0</v>
      </c>
      <c r="J623" s="8">
        <f t="shared" ref="J623:J628" si="447">$C$1*I623*B623</f>
        <v>0</v>
      </c>
      <c r="K623" s="9">
        <f t="shared" ref="K623:K628" si="448">$C$1*I623*C623</f>
        <v>0</v>
      </c>
    </row>
    <row r="624" spans="1:11" x14ac:dyDescent="0.25">
      <c r="A624" s="5">
        <v>2</v>
      </c>
      <c r="B624" s="6">
        <f t="shared" ref="B624:C624" si="449">B609</f>
        <v>1</v>
      </c>
      <c r="C624" s="6">
        <f t="shared" si="449"/>
        <v>1</v>
      </c>
      <c r="D624" s="8">
        <f>B624*B619+C624*C619+D619</f>
        <v>-0.41666666666666829</v>
      </c>
      <c r="E624" s="6">
        <f t="shared" ref="E624:E628" si="450">IF(D624&gt;=0,$F$1,$E$1)</f>
        <v>-1</v>
      </c>
      <c r="F624" s="6">
        <f>$F$9</f>
        <v>-1</v>
      </c>
      <c r="G624" s="20" t="str">
        <f t="shared" ref="G624:G628" si="451">IF(E624&gt;0,"A","B")</f>
        <v>B</v>
      </c>
      <c r="H624" s="20" t="str">
        <f t="shared" ref="H624:H628" si="452">IF(F624&gt;0,"A","B")</f>
        <v>B</v>
      </c>
      <c r="I624" s="8">
        <f t="shared" si="446"/>
        <v>0</v>
      </c>
      <c r="J624" s="8">
        <f t="shared" si="447"/>
        <v>0</v>
      </c>
      <c r="K624" s="9">
        <f t="shared" si="448"/>
        <v>0</v>
      </c>
    </row>
    <row r="625" spans="1:11" x14ac:dyDescent="0.25">
      <c r="A625" s="5">
        <v>3</v>
      </c>
      <c r="B625" s="6">
        <f t="shared" ref="B625:C625" si="453">B610</f>
        <v>2</v>
      </c>
      <c r="C625" s="6">
        <f t="shared" si="453"/>
        <v>2</v>
      </c>
      <c r="D625" s="8">
        <f>B625*B619+C625*C619+D619</f>
        <v>0.16666666666666341</v>
      </c>
      <c r="E625" s="6">
        <f t="shared" si="450"/>
        <v>1</v>
      </c>
      <c r="F625" s="6">
        <f>$F$10</f>
        <v>-1</v>
      </c>
      <c r="G625" s="20" t="str">
        <f t="shared" si="451"/>
        <v>A</v>
      </c>
      <c r="H625" s="20" t="str">
        <f t="shared" si="452"/>
        <v>B</v>
      </c>
      <c r="I625" s="8">
        <f t="shared" si="446"/>
        <v>-2</v>
      </c>
      <c r="J625" s="8">
        <f t="shared" si="447"/>
        <v>-0.04</v>
      </c>
      <c r="K625" s="9">
        <f t="shared" si="448"/>
        <v>-0.04</v>
      </c>
    </row>
    <row r="626" spans="1:11" x14ac:dyDescent="0.25">
      <c r="A626" s="5">
        <v>4</v>
      </c>
      <c r="B626" s="6">
        <f t="shared" ref="B626:C626" si="454">B611</f>
        <v>2</v>
      </c>
      <c r="C626" s="6">
        <f t="shared" si="454"/>
        <v>3</v>
      </c>
      <c r="D626" s="8">
        <f>B626*B619+C626*C619+D619</f>
        <v>0.5266666666666624</v>
      </c>
      <c r="E626" s="6">
        <f t="shared" si="450"/>
        <v>1</v>
      </c>
      <c r="F626" s="6">
        <f>$F$11</f>
        <v>1</v>
      </c>
      <c r="G626" s="20" t="str">
        <f t="shared" si="451"/>
        <v>A</v>
      </c>
      <c r="H626" s="20" t="str">
        <f t="shared" si="452"/>
        <v>A</v>
      </c>
      <c r="I626" s="8">
        <f t="shared" si="446"/>
        <v>0</v>
      </c>
      <c r="J626" s="8">
        <f t="shared" si="447"/>
        <v>0</v>
      </c>
      <c r="K626" s="9">
        <f t="shared" si="448"/>
        <v>0</v>
      </c>
    </row>
    <row r="627" spans="1:11" x14ac:dyDescent="0.25">
      <c r="A627" s="5">
        <v>5</v>
      </c>
      <c r="B627" s="6">
        <f t="shared" ref="B627:C627" si="455">B612</f>
        <v>5</v>
      </c>
      <c r="C627" s="6">
        <f t="shared" si="455"/>
        <v>3</v>
      </c>
      <c r="D627" s="8">
        <f>B627*B619+C627*C619+D619</f>
        <v>1.196666666666661</v>
      </c>
      <c r="E627" s="6">
        <f t="shared" si="450"/>
        <v>1</v>
      </c>
      <c r="F627" s="6">
        <f>$F$12</f>
        <v>1</v>
      </c>
      <c r="G627" s="20" t="str">
        <f t="shared" si="451"/>
        <v>A</v>
      </c>
      <c r="H627" s="20" t="str">
        <f t="shared" si="452"/>
        <v>A</v>
      </c>
      <c r="I627" s="8">
        <f t="shared" si="446"/>
        <v>0</v>
      </c>
      <c r="J627" s="8">
        <f t="shared" si="447"/>
        <v>0</v>
      </c>
      <c r="K627" s="9">
        <f t="shared" si="448"/>
        <v>0</v>
      </c>
    </row>
    <row r="628" spans="1:11" x14ac:dyDescent="0.25">
      <c r="A628" s="5">
        <v>6</v>
      </c>
      <c r="B628" s="6">
        <f t="shared" ref="B628:C628" si="456">B613</f>
        <v>3</v>
      </c>
      <c r="C628" s="6">
        <f t="shared" si="456"/>
        <v>2</v>
      </c>
      <c r="D628" s="8">
        <f>B628*B619+C628*C619+D619</f>
        <v>0.38999999999999635</v>
      </c>
      <c r="E628" s="6">
        <f t="shared" si="450"/>
        <v>1</v>
      </c>
      <c r="F628" s="6">
        <f>$F$13</f>
        <v>-1</v>
      </c>
      <c r="G628" s="20" t="str">
        <f t="shared" si="451"/>
        <v>A</v>
      </c>
      <c r="H628" s="20" t="str">
        <f t="shared" si="452"/>
        <v>B</v>
      </c>
      <c r="I628" s="8">
        <f t="shared" si="446"/>
        <v>-2</v>
      </c>
      <c r="J628" s="8">
        <f t="shared" si="447"/>
        <v>-0.06</v>
      </c>
      <c r="K628" s="9">
        <f t="shared" si="448"/>
        <v>-0.04</v>
      </c>
    </row>
    <row r="629" spans="1:11" x14ac:dyDescent="0.25">
      <c r="A629" s="5"/>
      <c r="B629" s="6"/>
      <c r="C629" s="6"/>
      <c r="D629" s="6"/>
      <c r="E629" s="6"/>
      <c r="F629" s="6"/>
      <c r="G629" s="20" t="s">
        <v>8</v>
      </c>
      <c r="H629" s="20"/>
      <c r="I629" s="8">
        <f>SUM(I623:I628)</f>
        <v>-4</v>
      </c>
      <c r="J629" s="8">
        <f>AVERAGE(J623:J628)</f>
        <v>-1.6666666666666666E-2</v>
      </c>
      <c r="K629" s="9">
        <f>AVERAGE(K623:K628)</f>
        <v>-1.3333333333333334E-2</v>
      </c>
    </row>
    <row r="630" spans="1:11" x14ac:dyDescent="0.25">
      <c r="A630" s="5"/>
      <c r="B630" s="6"/>
      <c r="C630" s="6"/>
      <c r="D630" s="6"/>
      <c r="E630" s="6"/>
      <c r="F630" s="6"/>
      <c r="G630" s="20" t="s">
        <v>9</v>
      </c>
      <c r="H630" s="20"/>
      <c r="I630" s="8">
        <f>SUMSQ(I623:I628)</f>
        <v>8</v>
      </c>
      <c r="J630" s="10"/>
      <c r="K630" s="15"/>
    </row>
    <row r="631" spans="1:11" x14ac:dyDescent="0.25">
      <c r="A631" s="11"/>
      <c r="B631" s="12"/>
      <c r="C631" s="12"/>
      <c r="D631" s="12"/>
      <c r="E631" s="12"/>
      <c r="F631" s="12"/>
      <c r="G631" s="21"/>
      <c r="H631" s="21"/>
      <c r="I631" s="18"/>
      <c r="J631" s="13"/>
      <c r="K631" s="16"/>
    </row>
    <row r="632" spans="1:11" x14ac:dyDescent="0.25">
      <c r="A632" s="2" t="s">
        <v>13</v>
      </c>
      <c r="B632" s="3">
        <f>B617+1</f>
        <v>43</v>
      </c>
      <c r="C632" s="3"/>
      <c r="D632" s="3"/>
      <c r="E632" s="3"/>
      <c r="F632" s="3"/>
      <c r="G632" s="19"/>
      <c r="H632" s="19"/>
      <c r="I632" s="17"/>
      <c r="J632" s="3"/>
      <c r="K632" s="4"/>
    </row>
    <row r="633" spans="1:11" x14ac:dyDescent="0.25">
      <c r="A633" s="5"/>
      <c r="B633" s="6" t="s">
        <v>4</v>
      </c>
      <c r="C633" s="6" t="s">
        <v>5</v>
      </c>
      <c r="D633" s="6" t="s">
        <v>6</v>
      </c>
      <c r="E633" s="6"/>
      <c r="F633" s="6"/>
      <c r="G633" s="20"/>
      <c r="H633" s="20"/>
      <c r="I633" s="8"/>
      <c r="J633" s="6"/>
      <c r="K633" s="7"/>
    </row>
    <row r="634" spans="1:11" x14ac:dyDescent="0.25">
      <c r="A634" s="5">
        <v>1</v>
      </c>
      <c r="B634" s="14">
        <f>B619+J629</f>
        <v>0.20666666666666622</v>
      </c>
      <c r="C634" s="14">
        <f>C619+K629</f>
        <v>0.34666666666666557</v>
      </c>
      <c r="D634" s="6">
        <f>D619</f>
        <v>-1</v>
      </c>
      <c r="E634" s="6"/>
      <c r="F634" s="6"/>
      <c r="G634" s="20"/>
      <c r="H634" s="20"/>
      <c r="I634" s="8"/>
      <c r="J634" s="6"/>
      <c r="K634" s="7"/>
    </row>
    <row r="635" spans="1:11" x14ac:dyDescent="0.25">
      <c r="A635" s="5"/>
      <c r="B635" s="6"/>
      <c r="C635" s="6"/>
      <c r="D635" s="6"/>
      <c r="E635" s="6"/>
      <c r="F635" s="6"/>
      <c r="G635" s="20"/>
      <c r="H635" s="20"/>
      <c r="I635" s="8"/>
      <c r="J635" s="6"/>
      <c r="K635" s="7"/>
    </row>
    <row r="636" spans="1:11" x14ac:dyDescent="0.25">
      <c r="A636" s="5"/>
      <c r="B636" s="6"/>
      <c r="C636" s="6"/>
      <c r="D636" s="6"/>
      <c r="E636" s="6"/>
      <c r="F636" s="6"/>
      <c r="G636" s="20"/>
      <c r="H636" s="20"/>
      <c r="I636" s="8"/>
      <c r="J636" s="6"/>
      <c r="K636" s="7"/>
    </row>
    <row r="637" spans="1:11" x14ac:dyDescent="0.25">
      <c r="A637" s="5" t="s">
        <v>10</v>
      </c>
      <c r="B637" s="6" t="s">
        <v>2</v>
      </c>
      <c r="C637" s="6" t="s">
        <v>3</v>
      </c>
      <c r="D637" s="6" t="s">
        <v>0</v>
      </c>
      <c r="E637" s="6" t="s">
        <v>15</v>
      </c>
      <c r="F637" s="6" t="s">
        <v>1</v>
      </c>
      <c r="G637" s="20" t="s">
        <v>17</v>
      </c>
      <c r="H637" s="20" t="s">
        <v>16</v>
      </c>
      <c r="I637" s="8" t="s">
        <v>7</v>
      </c>
      <c r="J637" s="6" t="s">
        <v>11</v>
      </c>
      <c r="K637" s="7" t="s">
        <v>12</v>
      </c>
    </row>
    <row r="638" spans="1:11" x14ac:dyDescent="0.25">
      <c r="A638" s="5">
        <v>1</v>
      </c>
      <c r="B638" s="6">
        <f>B623</f>
        <v>4</v>
      </c>
      <c r="C638" s="6">
        <f>C623</f>
        <v>3</v>
      </c>
      <c r="D638" s="8">
        <f>B638*B634+C638*C634+D634</f>
        <v>0.86666666666666159</v>
      </c>
      <c r="E638" s="6">
        <f>IF(D638&gt;=0,$F$1,$E$1)</f>
        <v>1</v>
      </c>
      <c r="F638" s="6">
        <f>$F$8</f>
        <v>1</v>
      </c>
      <c r="G638" s="20" t="str">
        <f>IF(E638&gt;0,"A","B")</f>
        <v>A</v>
      </c>
      <c r="H638" s="20" t="str">
        <f>IF(F638&gt;0,"A","B")</f>
        <v>A</v>
      </c>
      <c r="I638" s="8">
        <f t="shared" ref="I638:I643" si="457">F638-E638</f>
        <v>0</v>
      </c>
      <c r="J638" s="8">
        <f t="shared" ref="J638:J643" si="458">$C$1*I638*B638</f>
        <v>0</v>
      </c>
      <c r="K638" s="9">
        <f t="shared" ref="K638:K643" si="459">$C$1*I638*C638</f>
        <v>0</v>
      </c>
    </row>
    <row r="639" spans="1:11" x14ac:dyDescent="0.25">
      <c r="A639" s="5">
        <v>2</v>
      </c>
      <c r="B639" s="6">
        <f t="shared" ref="B639:C639" si="460">B624</f>
        <v>1</v>
      </c>
      <c r="C639" s="6">
        <f t="shared" si="460"/>
        <v>1</v>
      </c>
      <c r="D639" s="8">
        <f>B639*B634+C639*C634+D634</f>
        <v>-0.44666666666666821</v>
      </c>
      <c r="E639" s="6">
        <f t="shared" ref="E639:E643" si="461">IF(D639&gt;=0,$F$1,$E$1)</f>
        <v>-1</v>
      </c>
      <c r="F639" s="6">
        <f>$F$9</f>
        <v>-1</v>
      </c>
      <c r="G639" s="20" t="str">
        <f t="shared" ref="G639:G643" si="462">IF(E639&gt;0,"A","B")</f>
        <v>B</v>
      </c>
      <c r="H639" s="20" t="str">
        <f t="shared" ref="H639:H643" si="463">IF(F639&gt;0,"A","B")</f>
        <v>B</v>
      </c>
      <c r="I639" s="8">
        <f t="shared" si="457"/>
        <v>0</v>
      </c>
      <c r="J639" s="8">
        <f t="shared" si="458"/>
        <v>0</v>
      </c>
      <c r="K639" s="9">
        <f t="shared" si="459"/>
        <v>0</v>
      </c>
    </row>
    <row r="640" spans="1:11" x14ac:dyDescent="0.25">
      <c r="A640" s="5">
        <v>3</v>
      </c>
      <c r="B640" s="6">
        <f t="shared" ref="B640:C640" si="464">B625</f>
        <v>2</v>
      </c>
      <c r="C640" s="6">
        <f t="shared" si="464"/>
        <v>2</v>
      </c>
      <c r="D640" s="8">
        <f>B640*B634+C640*C634+D634</f>
        <v>0.10666666666666358</v>
      </c>
      <c r="E640" s="6">
        <f t="shared" si="461"/>
        <v>1</v>
      </c>
      <c r="F640" s="6">
        <f>$F$10</f>
        <v>-1</v>
      </c>
      <c r="G640" s="20" t="str">
        <f t="shared" si="462"/>
        <v>A</v>
      </c>
      <c r="H640" s="20" t="str">
        <f t="shared" si="463"/>
        <v>B</v>
      </c>
      <c r="I640" s="8">
        <f t="shared" si="457"/>
        <v>-2</v>
      </c>
      <c r="J640" s="8">
        <f t="shared" si="458"/>
        <v>-0.04</v>
      </c>
      <c r="K640" s="9">
        <f t="shared" si="459"/>
        <v>-0.04</v>
      </c>
    </row>
    <row r="641" spans="1:11" x14ac:dyDescent="0.25">
      <c r="A641" s="5">
        <v>4</v>
      </c>
      <c r="B641" s="6">
        <f t="shared" ref="B641:C641" si="465">B626</f>
        <v>2</v>
      </c>
      <c r="C641" s="6">
        <f t="shared" si="465"/>
        <v>3</v>
      </c>
      <c r="D641" s="8">
        <f>B641*B634+C641*C634+D634</f>
        <v>0.45333333333332915</v>
      </c>
      <c r="E641" s="6">
        <f t="shared" si="461"/>
        <v>1</v>
      </c>
      <c r="F641" s="6">
        <f>$F$11</f>
        <v>1</v>
      </c>
      <c r="G641" s="20" t="str">
        <f t="shared" si="462"/>
        <v>A</v>
      </c>
      <c r="H641" s="20" t="str">
        <f t="shared" si="463"/>
        <v>A</v>
      </c>
      <c r="I641" s="8">
        <f t="shared" si="457"/>
        <v>0</v>
      </c>
      <c r="J641" s="8">
        <f t="shared" si="458"/>
        <v>0</v>
      </c>
      <c r="K641" s="9">
        <f t="shared" si="459"/>
        <v>0</v>
      </c>
    </row>
    <row r="642" spans="1:11" x14ac:dyDescent="0.25">
      <c r="A642" s="5">
        <v>5</v>
      </c>
      <c r="B642" s="6">
        <f t="shared" ref="B642:C642" si="466">B627</f>
        <v>5</v>
      </c>
      <c r="C642" s="6">
        <f t="shared" si="466"/>
        <v>3</v>
      </c>
      <c r="D642" s="8">
        <f>B642*B634+C642*C634+D634</f>
        <v>1.0733333333333279</v>
      </c>
      <c r="E642" s="6">
        <f t="shared" si="461"/>
        <v>1</v>
      </c>
      <c r="F642" s="6">
        <f>$F$12</f>
        <v>1</v>
      </c>
      <c r="G642" s="20" t="str">
        <f t="shared" si="462"/>
        <v>A</v>
      </c>
      <c r="H642" s="20" t="str">
        <f t="shared" si="463"/>
        <v>A</v>
      </c>
      <c r="I642" s="8">
        <f t="shared" si="457"/>
        <v>0</v>
      </c>
      <c r="J642" s="8">
        <f t="shared" si="458"/>
        <v>0</v>
      </c>
      <c r="K642" s="9">
        <f t="shared" si="459"/>
        <v>0</v>
      </c>
    </row>
    <row r="643" spans="1:11" x14ac:dyDescent="0.25">
      <c r="A643" s="5">
        <v>6</v>
      </c>
      <c r="B643" s="6">
        <f t="shared" ref="B643:C643" si="467">B628</f>
        <v>3</v>
      </c>
      <c r="C643" s="6">
        <f t="shared" si="467"/>
        <v>2</v>
      </c>
      <c r="D643" s="8">
        <f>B643*B634+C643*C634+D634</f>
        <v>0.31333333333332991</v>
      </c>
      <c r="E643" s="6">
        <f t="shared" si="461"/>
        <v>1</v>
      </c>
      <c r="F643" s="6">
        <f>$F$13</f>
        <v>-1</v>
      </c>
      <c r="G643" s="20" t="str">
        <f t="shared" si="462"/>
        <v>A</v>
      </c>
      <c r="H643" s="20" t="str">
        <f t="shared" si="463"/>
        <v>B</v>
      </c>
      <c r="I643" s="8">
        <f t="shared" si="457"/>
        <v>-2</v>
      </c>
      <c r="J643" s="8">
        <f t="shared" si="458"/>
        <v>-0.06</v>
      </c>
      <c r="K643" s="9">
        <f t="shared" si="459"/>
        <v>-0.04</v>
      </c>
    </row>
    <row r="644" spans="1:11" x14ac:dyDescent="0.25">
      <c r="A644" s="5"/>
      <c r="B644" s="6"/>
      <c r="C644" s="6"/>
      <c r="D644" s="6"/>
      <c r="E644" s="6"/>
      <c r="F644" s="6"/>
      <c r="G644" s="20" t="s">
        <v>8</v>
      </c>
      <c r="H644" s="20"/>
      <c r="I644" s="8">
        <f>SUM(I638:I643)</f>
        <v>-4</v>
      </c>
      <c r="J644" s="8">
        <f>AVERAGE(J638:J643)</f>
        <v>-1.6666666666666666E-2</v>
      </c>
      <c r="K644" s="9">
        <f>AVERAGE(K638:K643)</f>
        <v>-1.3333333333333334E-2</v>
      </c>
    </row>
    <row r="645" spans="1:11" x14ac:dyDescent="0.25">
      <c r="A645" s="5"/>
      <c r="B645" s="6"/>
      <c r="C645" s="6"/>
      <c r="D645" s="6"/>
      <c r="E645" s="6"/>
      <c r="F645" s="6"/>
      <c r="G645" s="20" t="s">
        <v>9</v>
      </c>
      <c r="H645" s="20"/>
      <c r="I645" s="8">
        <f>SUMSQ(I638:I643)</f>
        <v>8</v>
      </c>
      <c r="J645" s="10"/>
      <c r="K645" s="15"/>
    </row>
    <row r="646" spans="1:11" x14ac:dyDescent="0.25">
      <c r="A646" s="11"/>
      <c r="B646" s="12"/>
      <c r="C646" s="12"/>
      <c r="D646" s="12"/>
      <c r="E646" s="12"/>
      <c r="F646" s="12"/>
      <c r="G646" s="21"/>
      <c r="H646" s="21"/>
      <c r="I646" s="18"/>
      <c r="J646" s="13"/>
      <c r="K646" s="16"/>
    </row>
    <row r="647" spans="1:11" x14ac:dyDescent="0.25">
      <c r="A647" s="2" t="s">
        <v>13</v>
      </c>
      <c r="B647" s="3">
        <f>B632+1</f>
        <v>44</v>
      </c>
      <c r="C647" s="3"/>
      <c r="D647" s="3"/>
      <c r="E647" s="3"/>
      <c r="F647" s="3"/>
      <c r="G647" s="19"/>
      <c r="H647" s="19"/>
      <c r="I647" s="17"/>
      <c r="J647" s="3"/>
      <c r="K647" s="4"/>
    </row>
    <row r="648" spans="1:11" x14ac:dyDescent="0.25">
      <c r="A648" s="5"/>
      <c r="B648" s="6" t="s">
        <v>4</v>
      </c>
      <c r="C648" s="6" t="s">
        <v>5</v>
      </c>
      <c r="D648" s="6" t="s">
        <v>6</v>
      </c>
      <c r="E648" s="6"/>
      <c r="F648" s="6"/>
      <c r="G648" s="20"/>
      <c r="H648" s="20"/>
      <c r="I648" s="8"/>
      <c r="J648" s="6"/>
      <c r="K648" s="7"/>
    </row>
    <row r="649" spans="1:11" x14ac:dyDescent="0.25">
      <c r="A649" s="5">
        <v>1</v>
      </c>
      <c r="B649" s="14">
        <f>B634+J644</f>
        <v>0.18999999999999956</v>
      </c>
      <c r="C649" s="14">
        <f>C634+K644</f>
        <v>0.33333333333333226</v>
      </c>
      <c r="D649" s="6">
        <f>D634</f>
        <v>-1</v>
      </c>
      <c r="E649" s="6"/>
      <c r="F649" s="6"/>
      <c r="G649" s="20"/>
      <c r="H649" s="20"/>
      <c r="I649" s="8"/>
      <c r="J649" s="6"/>
      <c r="K649" s="7"/>
    </row>
    <row r="650" spans="1:11" x14ac:dyDescent="0.25">
      <c r="A650" s="5"/>
      <c r="B650" s="6"/>
      <c r="C650" s="6"/>
      <c r="D650" s="6"/>
      <c r="E650" s="6"/>
      <c r="F650" s="6"/>
      <c r="G650" s="20"/>
      <c r="H650" s="20"/>
      <c r="I650" s="8"/>
      <c r="J650" s="6"/>
      <c r="K650" s="7"/>
    </row>
    <row r="651" spans="1:11" x14ac:dyDescent="0.25">
      <c r="A651" s="5"/>
      <c r="B651" s="6"/>
      <c r="C651" s="6"/>
      <c r="D651" s="6"/>
      <c r="E651" s="6"/>
      <c r="F651" s="6"/>
      <c r="G651" s="20"/>
      <c r="H651" s="20"/>
      <c r="I651" s="8"/>
      <c r="J651" s="6"/>
      <c r="K651" s="7"/>
    </row>
    <row r="652" spans="1:11" x14ac:dyDescent="0.25">
      <c r="A652" s="5" t="s">
        <v>10</v>
      </c>
      <c r="B652" s="6" t="s">
        <v>2</v>
      </c>
      <c r="C652" s="6" t="s">
        <v>3</v>
      </c>
      <c r="D652" s="6" t="s">
        <v>0</v>
      </c>
      <c r="E652" s="6" t="s">
        <v>15</v>
      </c>
      <c r="F652" s="6" t="s">
        <v>1</v>
      </c>
      <c r="G652" s="20" t="s">
        <v>17</v>
      </c>
      <c r="H652" s="20" t="s">
        <v>16</v>
      </c>
      <c r="I652" s="8" t="s">
        <v>7</v>
      </c>
      <c r="J652" s="6" t="s">
        <v>11</v>
      </c>
      <c r="K652" s="7" t="s">
        <v>12</v>
      </c>
    </row>
    <row r="653" spans="1:11" x14ac:dyDescent="0.25">
      <c r="A653" s="5">
        <v>1</v>
      </c>
      <c r="B653" s="6">
        <f>B638</f>
        <v>4</v>
      </c>
      <c r="C653" s="6">
        <f>C638</f>
        <v>3</v>
      </c>
      <c r="D653" s="8">
        <f>B653*B649+C653*C649+D649</f>
        <v>0.7599999999999949</v>
      </c>
      <c r="E653" s="6">
        <f>IF(D653&gt;=0,$F$1,$E$1)</f>
        <v>1</v>
      </c>
      <c r="F653" s="6">
        <f>$F$8</f>
        <v>1</v>
      </c>
      <c r="G653" s="20" t="str">
        <f>IF(E653&gt;0,"A","B")</f>
        <v>A</v>
      </c>
      <c r="H653" s="20" t="str">
        <f>IF(F653&gt;0,"A","B")</f>
        <v>A</v>
      </c>
      <c r="I653" s="8">
        <f t="shared" ref="I653:I658" si="468">F653-E653</f>
        <v>0</v>
      </c>
      <c r="J653" s="8">
        <f t="shared" ref="J653:J658" si="469">$C$1*I653*B653</f>
        <v>0</v>
      </c>
      <c r="K653" s="9">
        <f t="shared" ref="K653:K658" si="470">$C$1*I653*C653</f>
        <v>0</v>
      </c>
    </row>
    <row r="654" spans="1:11" x14ac:dyDescent="0.25">
      <c r="A654" s="5">
        <v>2</v>
      </c>
      <c r="B654" s="6">
        <f t="shared" ref="B654:C654" si="471">B639</f>
        <v>1</v>
      </c>
      <c r="C654" s="6">
        <f t="shared" si="471"/>
        <v>1</v>
      </c>
      <c r="D654" s="8">
        <f>B654*B649+C654*C649+D649</f>
        <v>-0.47666666666666813</v>
      </c>
      <c r="E654" s="6">
        <f t="shared" ref="E654:E658" si="472">IF(D654&gt;=0,$F$1,$E$1)</f>
        <v>-1</v>
      </c>
      <c r="F654" s="6">
        <f>$F$9</f>
        <v>-1</v>
      </c>
      <c r="G654" s="20" t="str">
        <f t="shared" ref="G654:G658" si="473">IF(E654&gt;0,"A","B")</f>
        <v>B</v>
      </c>
      <c r="H654" s="20" t="str">
        <f t="shared" ref="H654:H658" si="474">IF(F654&gt;0,"A","B")</f>
        <v>B</v>
      </c>
      <c r="I654" s="8">
        <f t="shared" si="468"/>
        <v>0</v>
      </c>
      <c r="J654" s="8">
        <f t="shared" si="469"/>
        <v>0</v>
      </c>
      <c r="K654" s="9">
        <f t="shared" si="470"/>
        <v>0</v>
      </c>
    </row>
    <row r="655" spans="1:11" x14ac:dyDescent="0.25">
      <c r="A655" s="5">
        <v>3</v>
      </c>
      <c r="B655" s="6">
        <f t="shared" ref="B655:C655" si="475">B640</f>
        <v>2</v>
      </c>
      <c r="C655" s="6">
        <f t="shared" si="475"/>
        <v>2</v>
      </c>
      <c r="D655" s="8">
        <f>B655*B649+C655*C649+D649</f>
        <v>4.6666666666663748E-2</v>
      </c>
      <c r="E655" s="6">
        <f t="shared" si="472"/>
        <v>1</v>
      </c>
      <c r="F655" s="6">
        <f>$F$10</f>
        <v>-1</v>
      </c>
      <c r="G655" s="20" t="str">
        <f t="shared" si="473"/>
        <v>A</v>
      </c>
      <c r="H655" s="20" t="str">
        <f t="shared" si="474"/>
        <v>B</v>
      </c>
      <c r="I655" s="8">
        <f t="shared" si="468"/>
        <v>-2</v>
      </c>
      <c r="J655" s="8">
        <f t="shared" si="469"/>
        <v>-0.04</v>
      </c>
      <c r="K655" s="9">
        <f t="shared" si="470"/>
        <v>-0.04</v>
      </c>
    </row>
    <row r="656" spans="1:11" x14ac:dyDescent="0.25">
      <c r="A656" s="5">
        <v>4</v>
      </c>
      <c r="B656" s="6">
        <f t="shared" ref="B656:C656" si="476">B641</f>
        <v>2</v>
      </c>
      <c r="C656" s="6">
        <f t="shared" si="476"/>
        <v>3</v>
      </c>
      <c r="D656" s="8">
        <f>B656*B649+C656*C649+D649</f>
        <v>0.3799999999999959</v>
      </c>
      <c r="E656" s="6">
        <f t="shared" si="472"/>
        <v>1</v>
      </c>
      <c r="F656" s="6">
        <f>$F$11</f>
        <v>1</v>
      </c>
      <c r="G656" s="20" t="str">
        <f t="shared" si="473"/>
        <v>A</v>
      </c>
      <c r="H656" s="20" t="str">
        <f t="shared" si="474"/>
        <v>A</v>
      </c>
      <c r="I656" s="8">
        <f t="shared" si="468"/>
        <v>0</v>
      </c>
      <c r="J656" s="8">
        <f t="shared" si="469"/>
        <v>0</v>
      </c>
      <c r="K656" s="9">
        <f t="shared" si="470"/>
        <v>0</v>
      </c>
    </row>
    <row r="657" spans="1:11" x14ac:dyDescent="0.25">
      <c r="A657" s="5">
        <v>5</v>
      </c>
      <c r="B657" s="6">
        <f t="shared" ref="B657:C657" si="477">B642</f>
        <v>5</v>
      </c>
      <c r="C657" s="6">
        <f t="shared" si="477"/>
        <v>3</v>
      </c>
      <c r="D657" s="8">
        <f>B657*B649+C657*C649+D649</f>
        <v>0.9499999999999944</v>
      </c>
      <c r="E657" s="6">
        <f t="shared" si="472"/>
        <v>1</v>
      </c>
      <c r="F657" s="6">
        <f>$F$12</f>
        <v>1</v>
      </c>
      <c r="G657" s="20" t="str">
        <f t="shared" si="473"/>
        <v>A</v>
      </c>
      <c r="H657" s="20" t="str">
        <f t="shared" si="474"/>
        <v>A</v>
      </c>
      <c r="I657" s="8">
        <f t="shared" si="468"/>
        <v>0</v>
      </c>
      <c r="J657" s="8">
        <f t="shared" si="469"/>
        <v>0</v>
      </c>
      <c r="K657" s="9">
        <f t="shared" si="470"/>
        <v>0</v>
      </c>
    </row>
    <row r="658" spans="1:11" x14ac:dyDescent="0.25">
      <c r="A658" s="5">
        <v>6</v>
      </c>
      <c r="B658" s="6">
        <f t="shared" ref="B658:C658" si="478">B643</f>
        <v>3</v>
      </c>
      <c r="C658" s="6">
        <f t="shared" si="478"/>
        <v>2</v>
      </c>
      <c r="D658" s="8">
        <f>B658*B649+C658*C649+D649</f>
        <v>0.23666666666666325</v>
      </c>
      <c r="E658" s="6">
        <f t="shared" si="472"/>
        <v>1</v>
      </c>
      <c r="F658" s="6">
        <f>$F$13</f>
        <v>-1</v>
      </c>
      <c r="G658" s="20" t="str">
        <f t="shared" si="473"/>
        <v>A</v>
      </c>
      <c r="H658" s="20" t="str">
        <f t="shared" si="474"/>
        <v>B</v>
      </c>
      <c r="I658" s="8">
        <f t="shared" si="468"/>
        <v>-2</v>
      </c>
      <c r="J658" s="8">
        <f t="shared" si="469"/>
        <v>-0.06</v>
      </c>
      <c r="K658" s="9">
        <f t="shared" si="470"/>
        <v>-0.04</v>
      </c>
    </row>
    <row r="659" spans="1:11" x14ac:dyDescent="0.25">
      <c r="A659" s="5"/>
      <c r="B659" s="6"/>
      <c r="C659" s="6"/>
      <c r="D659" s="6"/>
      <c r="E659" s="6"/>
      <c r="F659" s="6"/>
      <c r="G659" s="20" t="s">
        <v>8</v>
      </c>
      <c r="H659" s="20"/>
      <c r="I659" s="8">
        <f>SUM(I653:I658)</f>
        <v>-4</v>
      </c>
      <c r="J659" s="8">
        <f>AVERAGE(J653:J658)</f>
        <v>-1.6666666666666666E-2</v>
      </c>
      <c r="K659" s="9">
        <f>AVERAGE(K653:K658)</f>
        <v>-1.3333333333333334E-2</v>
      </c>
    </row>
    <row r="660" spans="1:11" x14ac:dyDescent="0.25">
      <c r="A660" s="5"/>
      <c r="B660" s="6"/>
      <c r="C660" s="6"/>
      <c r="D660" s="6"/>
      <c r="E660" s="6"/>
      <c r="F660" s="6"/>
      <c r="G660" s="20" t="s">
        <v>9</v>
      </c>
      <c r="H660" s="20"/>
      <c r="I660" s="8">
        <f>SUMSQ(I653:I658)</f>
        <v>8</v>
      </c>
      <c r="J660" s="10"/>
      <c r="K660" s="15"/>
    </row>
    <row r="661" spans="1:11" x14ac:dyDescent="0.25">
      <c r="A661" s="11"/>
      <c r="B661" s="12"/>
      <c r="C661" s="12"/>
      <c r="D661" s="12"/>
      <c r="E661" s="12"/>
      <c r="F661" s="12"/>
      <c r="G661" s="21"/>
      <c r="H661" s="21"/>
      <c r="I661" s="18"/>
      <c r="J661" s="13"/>
      <c r="K661" s="16"/>
    </row>
    <row r="662" spans="1:11" x14ac:dyDescent="0.25">
      <c r="A662" s="2" t="s">
        <v>13</v>
      </c>
      <c r="B662" s="3">
        <f>B647+1</f>
        <v>45</v>
      </c>
      <c r="C662" s="3"/>
      <c r="D662" s="3"/>
      <c r="E662" s="3"/>
      <c r="F662" s="3"/>
      <c r="G662" s="19"/>
      <c r="H662" s="19"/>
      <c r="I662" s="17"/>
      <c r="J662" s="3"/>
      <c r="K662" s="4"/>
    </row>
    <row r="663" spans="1:11" x14ac:dyDescent="0.25">
      <c r="A663" s="5"/>
      <c r="B663" s="6" t="s">
        <v>4</v>
      </c>
      <c r="C663" s="6" t="s">
        <v>5</v>
      </c>
      <c r="D663" s="6" t="s">
        <v>6</v>
      </c>
      <c r="E663" s="6"/>
      <c r="F663" s="6"/>
      <c r="G663" s="20"/>
      <c r="H663" s="20"/>
      <c r="I663" s="8"/>
      <c r="J663" s="6"/>
      <c r="K663" s="7"/>
    </row>
    <row r="664" spans="1:11" x14ac:dyDescent="0.25">
      <c r="A664" s="5">
        <v>1</v>
      </c>
      <c r="B664" s="14">
        <f>B649+J659</f>
        <v>0.1733333333333329</v>
      </c>
      <c r="C664" s="14">
        <f>C649+K659</f>
        <v>0.31999999999999895</v>
      </c>
      <c r="D664" s="6">
        <f>D649</f>
        <v>-1</v>
      </c>
      <c r="E664" s="6"/>
      <c r="F664" s="6"/>
      <c r="G664" s="20"/>
      <c r="H664" s="20"/>
      <c r="I664" s="8"/>
      <c r="J664" s="6"/>
      <c r="K664" s="7"/>
    </row>
    <row r="665" spans="1:11" x14ac:dyDescent="0.25">
      <c r="A665" s="5"/>
      <c r="B665" s="6"/>
      <c r="C665" s="6"/>
      <c r="D665" s="6"/>
      <c r="E665" s="6"/>
      <c r="F665" s="6"/>
      <c r="G665" s="20"/>
      <c r="H665" s="20"/>
      <c r="I665" s="8"/>
      <c r="J665" s="6"/>
      <c r="K665" s="7"/>
    </row>
    <row r="666" spans="1:11" x14ac:dyDescent="0.25">
      <c r="A666" s="5"/>
      <c r="B666" s="6"/>
      <c r="C666" s="6"/>
      <c r="D666" s="6"/>
      <c r="E666" s="6"/>
      <c r="F666" s="6"/>
      <c r="G666" s="20"/>
      <c r="H666" s="20"/>
      <c r="I666" s="8"/>
      <c r="J666" s="6"/>
      <c r="K666" s="7"/>
    </row>
    <row r="667" spans="1:11" x14ac:dyDescent="0.25">
      <c r="A667" s="5" t="s">
        <v>10</v>
      </c>
      <c r="B667" s="6" t="s">
        <v>2</v>
      </c>
      <c r="C667" s="6" t="s">
        <v>3</v>
      </c>
      <c r="D667" s="6" t="s">
        <v>0</v>
      </c>
      <c r="E667" s="6" t="s">
        <v>15</v>
      </c>
      <c r="F667" s="6" t="s">
        <v>1</v>
      </c>
      <c r="G667" s="20" t="s">
        <v>17</v>
      </c>
      <c r="H667" s="20" t="s">
        <v>16</v>
      </c>
      <c r="I667" s="8" t="s">
        <v>7</v>
      </c>
      <c r="J667" s="6" t="s">
        <v>11</v>
      </c>
      <c r="K667" s="7" t="s">
        <v>12</v>
      </c>
    </row>
    <row r="668" spans="1:11" x14ac:dyDescent="0.25">
      <c r="A668" s="5">
        <v>1</v>
      </c>
      <c r="B668" s="6">
        <f>B653</f>
        <v>4</v>
      </c>
      <c r="C668" s="6">
        <f>C653</f>
        <v>3</v>
      </c>
      <c r="D668" s="8">
        <f>B668*B664+C668*C664+D664</f>
        <v>0.65333333333332844</v>
      </c>
      <c r="E668" s="6">
        <f>IF(D668&gt;=0,$F$1,$E$1)</f>
        <v>1</v>
      </c>
      <c r="F668" s="6">
        <f>$F$8</f>
        <v>1</v>
      </c>
      <c r="G668" s="20" t="str">
        <f>IF(E668&gt;0,"A","B")</f>
        <v>A</v>
      </c>
      <c r="H668" s="20" t="str">
        <f>IF(F668&gt;0,"A","B")</f>
        <v>A</v>
      </c>
      <c r="I668" s="8">
        <f t="shared" ref="I668:I673" si="479">F668-E668</f>
        <v>0</v>
      </c>
      <c r="J668" s="8">
        <f t="shared" ref="J668:J673" si="480">$C$1*I668*B668</f>
        <v>0</v>
      </c>
      <c r="K668" s="9">
        <f t="shared" ref="K668:K673" si="481">$C$1*I668*C668</f>
        <v>0</v>
      </c>
    </row>
    <row r="669" spans="1:11" x14ac:dyDescent="0.25">
      <c r="A669" s="5">
        <v>2</v>
      </c>
      <c r="B669" s="6">
        <f t="shared" ref="B669:C669" si="482">B654</f>
        <v>1</v>
      </c>
      <c r="C669" s="6">
        <f t="shared" si="482"/>
        <v>1</v>
      </c>
      <c r="D669" s="8">
        <f>B669*B664+C669*C664+D664</f>
        <v>-0.50666666666666815</v>
      </c>
      <c r="E669" s="6">
        <f t="shared" ref="E669:E673" si="483">IF(D669&gt;=0,$F$1,$E$1)</f>
        <v>-1</v>
      </c>
      <c r="F669" s="6">
        <f>$F$9</f>
        <v>-1</v>
      </c>
      <c r="G669" s="20" t="str">
        <f t="shared" ref="G669:G673" si="484">IF(E669&gt;0,"A","B")</f>
        <v>B</v>
      </c>
      <c r="H669" s="20" t="str">
        <f t="shared" ref="H669:H673" si="485">IF(F669&gt;0,"A","B")</f>
        <v>B</v>
      </c>
      <c r="I669" s="8">
        <f t="shared" si="479"/>
        <v>0</v>
      </c>
      <c r="J669" s="8">
        <f t="shared" si="480"/>
        <v>0</v>
      </c>
      <c r="K669" s="9">
        <f t="shared" si="481"/>
        <v>0</v>
      </c>
    </row>
    <row r="670" spans="1:11" x14ac:dyDescent="0.25">
      <c r="A670" s="5">
        <v>3</v>
      </c>
      <c r="B670" s="6">
        <f t="shared" ref="B670:C670" si="486">B655</f>
        <v>2</v>
      </c>
      <c r="C670" s="6">
        <f t="shared" si="486"/>
        <v>2</v>
      </c>
      <c r="D670" s="8">
        <f>B670*B664+C670*C664+D664</f>
        <v>-1.3333333333336306E-2</v>
      </c>
      <c r="E670" s="6">
        <f t="shared" si="483"/>
        <v>-1</v>
      </c>
      <c r="F670" s="6">
        <f>$F$10</f>
        <v>-1</v>
      </c>
      <c r="G670" s="20" t="str">
        <f t="shared" si="484"/>
        <v>B</v>
      </c>
      <c r="H670" s="20" t="str">
        <f t="shared" si="485"/>
        <v>B</v>
      </c>
      <c r="I670" s="8">
        <f t="shared" si="479"/>
        <v>0</v>
      </c>
      <c r="J670" s="8">
        <f t="shared" si="480"/>
        <v>0</v>
      </c>
      <c r="K670" s="9">
        <f t="shared" si="481"/>
        <v>0</v>
      </c>
    </row>
    <row r="671" spans="1:11" x14ac:dyDescent="0.25">
      <c r="A671" s="5">
        <v>4</v>
      </c>
      <c r="B671" s="6">
        <f t="shared" ref="B671:C671" si="487">B656</f>
        <v>2</v>
      </c>
      <c r="C671" s="6">
        <f t="shared" si="487"/>
        <v>3</v>
      </c>
      <c r="D671" s="8">
        <f>B671*B664+C671*C664+D664</f>
        <v>0.30666666666666265</v>
      </c>
      <c r="E671" s="6">
        <f t="shared" si="483"/>
        <v>1</v>
      </c>
      <c r="F671" s="6">
        <f>$F$11</f>
        <v>1</v>
      </c>
      <c r="G671" s="20" t="str">
        <f t="shared" si="484"/>
        <v>A</v>
      </c>
      <c r="H671" s="20" t="str">
        <f t="shared" si="485"/>
        <v>A</v>
      </c>
      <c r="I671" s="8">
        <f t="shared" si="479"/>
        <v>0</v>
      </c>
      <c r="J671" s="8">
        <f t="shared" si="480"/>
        <v>0</v>
      </c>
      <c r="K671" s="9">
        <f t="shared" si="481"/>
        <v>0</v>
      </c>
    </row>
    <row r="672" spans="1:11" x14ac:dyDescent="0.25">
      <c r="A672" s="5">
        <v>5</v>
      </c>
      <c r="B672" s="6">
        <f t="shared" ref="B672:C672" si="488">B657</f>
        <v>5</v>
      </c>
      <c r="C672" s="6">
        <f t="shared" si="488"/>
        <v>3</v>
      </c>
      <c r="D672" s="8">
        <f>B672*B664+C672*C664+D664</f>
        <v>0.82666666666666133</v>
      </c>
      <c r="E672" s="6">
        <f t="shared" si="483"/>
        <v>1</v>
      </c>
      <c r="F672" s="6">
        <f>$F$12</f>
        <v>1</v>
      </c>
      <c r="G672" s="20" t="str">
        <f t="shared" si="484"/>
        <v>A</v>
      </c>
      <c r="H672" s="20" t="str">
        <f t="shared" si="485"/>
        <v>A</v>
      </c>
      <c r="I672" s="8">
        <f t="shared" si="479"/>
        <v>0</v>
      </c>
      <c r="J672" s="8">
        <f t="shared" si="480"/>
        <v>0</v>
      </c>
      <c r="K672" s="9">
        <f t="shared" si="481"/>
        <v>0</v>
      </c>
    </row>
    <row r="673" spans="1:11" x14ac:dyDescent="0.25">
      <c r="A673" s="5">
        <v>6</v>
      </c>
      <c r="B673" s="6">
        <f t="shared" ref="B673:C673" si="489">B658</f>
        <v>3</v>
      </c>
      <c r="C673" s="6">
        <f t="shared" si="489"/>
        <v>2</v>
      </c>
      <c r="D673" s="8">
        <f>B673*B664+C673*C664+D664</f>
        <v>0.15999999999999659</v>
      </c>
      <c r="E673" s="6">
        <f t="shared" si="483"/>
        <v>1</v>
      </c>
      <c r="F673" s="6">
        <f>$F$13</f>
        <v>-1</v>
      </c>
      <c r="G673" s="20" t="str">
        <f t="shared" si="484"/>
        <v>A</v>
      </c>
      <c r="H673" s="20" t="str">
        <f t="shared" si="485"/>
        <v>B</v>
      </c>
      <c r="I673" s="8">
        <f t="shared" si="479"/>
        <v>-2</v>
      </c>
      <c r="J673" s="8">
        <f t="shared" si="480"/>
        <v>-0.06</v>
      </c>
      <c r="K673" s="9">
        <f t="shared" si="481"/>
        <v>-0.04</v>
      </c>
    </row>
    <row r="674" spans="1:11" x14ac:dyDescent="0.25">
      <c r="A674" s="5"/>
      <c r="B674" s="6"/>
      <c r="C674" s="6"/>
      <c r="D674" s="6"/>
      <c r="E674" s="6"/>
      <c r="F674" s="6"/>
      <c r="G674" s="20" t="s">
        <v>8</v>
      </c>
      <c r="H674" s="20"/>
      <c r="I674" s="8">
        <f>SUM(I668:I673)</f>
        <v>-2</v>
      </c>
      <c r="J674" s="8">
        <f>AVERAGE(J668:J673)</f>
        <v>-0.01</v>
      </c>
      <c r="K674" s="9">
        <f>AVERAGE(K668:K673)</f>
        <v>-6.6666666666666671E-3</v>
      </c>
    </row>
    <row r="675" spans="1:11" x14ac:dyDescent="0.25">
      <c r="A675" s="5"/>
      <c r="B675" s="6"/>
      <c r="C675" s="6"/>
      <c r="D675" s="6"/>
      <c r="E675" s="6"/>
      <c r="F675" s="6"/>
      <c r="G675" s="20" t="s">
        <v>9</v>
      </c>
      <c r="H675" s="20"/>
      <c r="I675" s="8">
        <f>SUMSQ(I668:I673)</f>
        <v>4</v>
      </c>
      <c r="J675" s="10"/>
      <c r="K675" s="15"/>
    </row>
    <row r="676" spans="1:11" x14ac:dyDescent="0.25">
      <c r="A676" s="11"/>
      <c r="B676" s="12"/>
      <c r="C676" s="12"/>
      <c r="D676" s="12"/>
      <c r="E676" s="12"/>
      <c r="F676" s="12"/>
      <c r="G676" s="21"/>
      <c r="H676" s="21"/>
      <c r="I676" s="18"/>
      <c r="J676" s="13"/>
      <c r="K676" s="16"/>
    </row>
    <row r="677" spans="1:11" x14ac:dyDescent="0.25">
      <c r="A677" s="2" t="s">
        <v>13</v>
      </c>
      <c r="B677" s="3">
        <f>B662+1</f>
        <v>46</v>
      </c>
      <c r="C677" s="3"/>
      <c r="D677" s="3"/>
      <c r="E677" s="3"/>
      <c r="F677" s="3"/>
      <c r="G677" s="19"/>
      <c r="H677" s="19"/>
      <c r="I677" s="17"/>
      <c r="J677" s="3"/>
      <c r="K677" s="4"/>
    </row>
    <row r="678" spans="1:11" x14ac:dyDescent="0.25">
      <c r="A678" s="5"/>
      <c r="B678" s="6" t="s">
        <v>4</v>
      </c>
      <c r="C678" s="6" t="s">
        <v>5</v>
      </c>
      <c r="D678" s="6" t="s">
        <v>6</v>
      </c>
      <c r="E678" s="6"/>
      <c r="F678" s="6"/>
      <c r="G678" s="20"/>
      <c r="H678" s="20"/>
      <c r="I678" s="8"/>
      <c r="J678" s="6"/>
      <c r="K678" s="7"/>
    </row>
    <row r="679" spans="1:11" x14ac:dyDescent="0.25">
      <c r="A679" s="5">
        <v>1</v>
      </c>
      <c r="B679" s="14">
        <f>B664+J674</f>
        <v>0.16333333333333289</v>
      </c>
      <c r="C679" s="14">
        <f>C664+K674</f>
        <v>0.3133333333333323</v>
      </c>
      <c r="D679" s="6">
        <f>D664</f>
        <v>-1</v>
      </c>
      <c r="E679" s="6"/>
      <c r="F679" s="6"/>
      <c r="G679" s="20"/>
      <c r="H679" s="20"/>
      <c r="I679" s="8"/>
      <c r="J679" s="6"/>
      <c r="K679" s="7"/>
    </row>
    <row r="680" spans="1:11" x14ac:dyDescent="0.25">
      <c r="A680" s="5"/>
      <c r="B680" s="6"/>
      <c r="C680" s="6"/>
      <c r="D680" s="6"/>
      <c r="E680" s="6"/>
      <c r="F680" s="6"/>
      <c r="G680" s="20"/>
      <c r="H680" s="20"/>
      <c r="I680" s="8"/>
      <c r="J680" s="6"/>
      <c r="K680" s="7"/>
    </row>
    <row r="681" spans="1:11" x14ac:dyDescent="0.25">
      <c r="A681" s="5"/>
      <c r="B681" s="6"/>
      <c r="C681" s="6"/>
      <c r="D681" s="6"/>
      <c r="E681" s="6"/>
      <c r="F681" s="6"/>
      <c r="G681" s="20"/>
      <c r="H681" s="20"/>
      <c r="I681" s="8"/>
      <c r="J681" s="6"/>
      <c r="K681" s="7"/>
    </row>
    <row r="682" spans="1:11" x14ac:dyDescent="0.25">
      <c r="A682" s="5" t="s">
        <v>10</v>
      </c>
      <c r="B682" s="6" t="s">
        <v>2</v>
      </c>
      <c r="C682" s="6" t="s">
        <v>3</v>
      </c>
      <c r="D682" s="6" t="s">
        <v>0</v>
      </c>
      <c r="E682" s="6" t="s">
        <v>15</v>
      </c>
      <c r="F682" s="6" t="s">
        <v>1</v>
      </c>
      <c r="G682" s="20" t="s">
        <v>17</v>
      </c>
      <c r="H682" s="20" t="s">
        <v>16</v>
      </c>
      <c r="I682" s="8" t="s">
        <v>7</v>
      </c>
      <c r="J682" s="6" t="s">
        <v>11</v>
      </c>
      <c r="K682" s="7" t="s">
        <v>12</v>
      </c>
    </row>
    <row r="683" spans="1:11" x14ac:dyDescent="0.25">
      <c r="A683" s="5">
        <v>1</v>
      </c>
      <c r="B683" s="6">
        <f>B668</f>
        <v>4</v>
      </c>
      <c r="C683" s="6">
        <f>C668</f>
        <v>3</v>
      </c>
      <c r="D683" s="8">
        <f>B683*B679+C683*C679+D679</f>
        <v>0.59333333333332838</v>
      </c>
      <c r="E683" s="6">
        <f>IF(D683&gt;=0,$F$1,$E$1)</f>
        <v>1</v>
      </c>
      <c r="F683" s="6">
        <f>$F$8</f>
        <v>1</v>
      </c>
      <c r="G683" s="20" t="str">
        <f>IF(E683&gt;0,"A","B")</f>
        <v>A</v>
      </c>
      <c r="H683" s="20" t="str">
        <f>IF(F683&gt;0,"A","B")</f>
        <v>A</v>
      </c>
      <c r="I683" s="8">
        <f t="shared" ref="I683:I688" si="490">F683-E683</f>
        <v>0</v>
      </c>
      <c r="J683" s="8">
        <f t="shared" ref="J683:J688" si="491">$C$1*I683*B683</f>
        <v>0</v>
      </c>
      <c r="K683" s="9">
        <f t="shared" ref="K683:K688" si="492">$C$1*I683*C683</f>
        <v>0</v>
      </c>
    </row>
    <row r="684" spans="1:11" x14ac:dyDescent="0.25">
      <c r="A684" s="5">
        <v>2</v>
      </c>
      <c r="B684" s="6">
        <f t="shared" ref="B684:C684" si="493">B669</f>
        <v>1</v>
      </c>
      <c r="C684" s="6">
        <f t="shared" si="493"/>
        <v>1</v>
      </c>
      <c r="D684" s="8">
        <f>B684*B679+C684*C679+D679</f>
        <v>-0.52333333333333476</v>
      </c>
      <c r="E684" s="6">
        <f t="shared" ref="E684:E688" si="494">IF(D684&gt;=0,$F$1,$E$1)</f>
        <v>-1</v>
      </c>
      <c r="F684" s="6">
        <f>$F$9</f>
        <v>-1</v>
      </c>
      <c r="G684" s="20" t="str">
        <f t="shared" ref="G684:G688" si="495">IF(E684&gt;0,"A","B")</f>
        <v>B</v>
      </c>
      <c r="H684" s="20" t="str">
        <f t="shared" ref="H684:H688" si="496">IF(F684&gt;0,"A","B")</f>
        <v>B</v>
      </c>
      <c r="I684" s="8">
        <f t="shared" si="490"/>
        <v>0</v>
      </c>
      <c r="J684" s="8">
        <f t="shared" si="491"/>
        <v>0</v>
      </c>
      <c r="K684" s="9">
        <f t="shared" si="492"/>
        <v>0</v>
      </c>
    </row>
    <row r="685" spans="1:11" x14ac:dyDescent="0.25">
      <c r="A685" s="5">
        <v>3</v>
      </c>
      <c r="B685" s="6">
        <f t="shared" ref="B685:C685" si="497">B670</f>
        <v>2</v>
      </c>
      <c r="C685" s="6">
        <f t="shared" si="497"/>
        <v>2</v>
      </c>
      <c r="D685" s="8">
        <f>B685*B679+C685*C679+D679</f>
        <v>-4.6666666666669632E-2</v>
      </c>
      <c r="E685" s="6">
        <f t="shared" si="494"/>
        <v>-1</v>
      </c>
      <c r="F685" s="6">
        <f>$F$10</f>
        <v>-1</v>
      </c>
      <c r="G685" s="20" t="str">
        <f t="shared" si="495"/>
        <v>B</v>
      </c>
      <c r="H685" s="20" t="str">
        <f t="shared" si="496"/>
        <v>B</v>
      </c>
      <c r="I685" s="8">
        <f t="shared" si="490"/>
        <v>0</v>
      </c>
      <c r="J685" s="8">
        <f t="shared" si="491"/>
        <v>0</v>
      </c>
      <c r="K685" s="9">
        <f t="shared" si="492"/>
        <v>0</v>
      </c>
    </row>
    <row r="686" spans="1:11" x14ac:dyDescent="0.25">
      <c r="A686" s="5">
        <v>4</v>
      </c>
      <c r="B686" s="6">
        <f t="shared" ref="B686:C686" si="498">B671</f>
        <v>2</v>
      </c>
      <c r="C686" s="6">
        <f t="shared" si="498"/>
        <v>3</v>
      </c>
      <c r="D686" s="8">
        <f>B686*B679+C686*C679+D679</f>
        <v>0.26666666666666261</v>
      </c>
      <c r="E686" s="6">
        <f t="shared" si="494"/>
        <v>1</v>
      </c>
      <c r="F686" s="6">
        <f>$F$11</f>
        <v>1</v>
      </c>
      <c r="G686" s="20" t="str">
        <f t="shared" si="495"/>
        <v>A</v>
      </c>
      <c r="H686" s="20" t="str">
        <f t="shared" si="496"/>
        <v>A</v>
      </c>
      <c r="I686" s="8">
        <f t="shared" si="490"/>
        <v>0</v>
      </c>
      <c r="J686" s="8">
        <f t="shared" si="491"/>
        <v>0</v>
      </c>
      <c r="K686" s="9">
        <f t="shared" si="492"/>
        <v>0</v>
      </c>
    </row>
    <row r="687" spans="1:11" x14ac:dyDescent="0.25">
      <c r="A687" s="5">
        <v>5</v>
      </c>
      <c r="B687" s="6">
        <f t="shared" ref="B687:C687" si="499">B672</f>
        <v>5</v>
      </c>
      <c r="C687" s="6">
        <f t="shared" si="499"/>
        <v>3</v>
      </c>
      <c r="D687" s="8">
        <f>B687*B679+C687*C679+D679</f>
        <v>0.75666666666666127</v>
      </c>
      <c r="E687" s="6">
        <f t="shared" si="494"/>
        <v>1</v>
      </c>
      <c r="F687" s="6">
        <f>$F$12</f>
        <v>1</v>
      </c>
      <c r="G687" s="20" t="str">
        <f t="shared" si="495"/>
        <v>A</v>
      </c>
      <c r="H687" s="20" t="str">
        <f t="shared" si="496"/>
        <v>A</v>
      </c>
      <c r="I687" s="8">
        <f t="shared" si="490"/>
        <v>0</v>
      </c>
      <c r="J687" s="8">
        <f t="shared" si="491"/>
        <v>0</v>
      </c>
      <c r="K687" s="9">
        <f t="shared" si="492"/>
        <v>0</v>
      </c>
    </row>
    <row r="688" spans="1:11" x14ac:dyDescent="0.25">
      <c r="A688" s="5">
        <v>6</v>
      </c>
      <c r="B688" s="6">
        <f t="shared" ref="B688:C688" si="500">B673</f>
        <v>3</v>
      </c>
      <c r="C688" s="6">
        <f t="shared" si="500"/>
        <v>2</v>
      </c>
      <c r="D688" s="8">
        <f>B688*B679+C688*C679+D679</f>
        <v>0.11666666666666314</v>
      </c>
      <c r="E688" s="6">
        <f t="shared" si="494"/>
        <v>1</v>
      </c>
      <c r="F688" s="6">
        <f>$F$13</f>
        <v>-1</v>
      </c>
      <c r="G688" s="20" t="str">
        <f t="shared" si="495"/>
        <v>A</v>
      </c>
      <c r="H688" s="20" t="str">
        <f t="shared" si="496"/>
        <v>B</v>
      </c>
      <c r="I688" s="8">
        <f t="shared" si="490"/>
        <v>-2</v>
      </c>
      <c r="J688" s="8">
        <f t="shared" si="491"/>
        <v>-0.06</v>
      </c>
      <c r="K688" s="9">
        <f t="shared" si="492"/>
        <v>-0.04</v>
      </c>
    </row>
    <row r="689" spans="1:11" x14ac:dyDescent="0.25">
      <c r="A689" s="5"/>
      <c r="B689" s="6"/>
      <c r="C689" s="6"/>
      <c r="D689" s="6"/>
      <c r="E689" s="6"/>
      <c r="F689" s="6"/>
      <c r="G689" s="20" t="s">
        <v>8</v>
      </c>
      <c r="H689" s="20"/>
      <c r="I689" s="8">
        <f>SUM(I683:I688)</f>
        <v>-2</v>
      </c>
      <c r="J689" s="8">
        <f>AVERAGE(J683:J688)</f>
        <v>-0.01</v>
      </c>
      <c r="K689" s="9">
        <f>AVERAGE(K683:K688)</f>
        <v>-6.6666666666666671E-3</v>
      </c>
    </row>
    <row r="690" spans="1:11" x14ac:dyDescent="0.25">
      <c r="A690" s="5"/>
      <c r="B690" s="6"/>
      <c r="C690" s="6"/>
      <c r="D690" s="6"/>
      <c r="E690" s="6"/>
      <c r="F690" s="6"/>
      <c r="G690" s="20" t="s">
        <v>9</v>
      </c>
      <c r="H690" s="20"/>
      <c r="I690" s="8">
        <f>SUMSQ(I683:I688)</f>
        <v>4</v>
      </c>
      <c r="J690" s="10"/>
      <c r="K690" s="15"/>
    </row>
    <row r="691" spans="1:11" x14ac:dyDescent="0.25">
      <c r="A691" s="11"/>
      <c r="B691" s="12"/>
      <c r="C691" s="12"/>
      <c r="D691" s="12"/>
      <c r="E691" s="12"/>
      <c r="F691" s="12"/>
      <c r="G691" s="21"/>
      <c r="H691" s="21"/>
      <c r="I691" s="18"/>
      <c r="J691" s="13"/>
      <c r="K691" s="16"/>
    </row>
    <row r="692" spans="1:11" x14ac:dyDescent="0.25">
      <c r="A692" s="2" t="s">
        <v>13</v>
      </c>
      <c r="B692" s="3">
        <f>B677+1</f>
        <v>47</v>
      </c>
      <c r="C692" s="3"/>
      <c r="D692" s="3"/>
      <c r="E692" s="3"/>
      <c r="F692" s="3"/>
      <c r="G692" s="19"/>
      <c r="H692" s="19"/>
      <c r="I692" s="17"/>
      <c r="J692" s="3"/>
      <c r="K692" s="4"/>
    </row>
    <row r="693" spans="1:11" x14ac:dyDescent="0.25">
      <c r="A693" s="5"/>
      <c r="B693" s="6" t="s">
        <v>4</v>
      </c>
      <c r="C693" s="6" t="s">
        <v>5</v>
      </c>
      <c r="D693" s="6" t="s">
        <v>6</v>
      </c>
      <c r="E693" s="6"/>
      <c r="F693" s="6"/>
      <c r="G693" s="20"/>
      <c r="H693" s="20"/>
      <c r="I693" s="8"/>
      <c r="J693" s="6"/>
      <c r="K693" s="7"/>
    </row>
    <row r="694" spans="1:11" x14ac:dyDescent="0.25">
      <c r="A694" s="5">
        <v>1</v>
      </c>
      <c r="B694" s="14">
        <f>B679+J689</f>
        <v>0.15333333333333288</v>
      </c>
      <c r="C694" s="14">
        <f>C679+K689</f>
        <v>0.30666666666666564</v>
      </c>
      <c r="D694" s="6">
        <f>D679</f>
        <v>-1</v>
      </c>
      <c r="E694" s="6"/>
      <c r="F694" s="6"/>
      <c r="G694" s="20"/>
      <c r="H694" s="20"/>
      <c r="I694" s="8"/>
      <c r="J694" s="6"/>
      <c r="K694" s="7"/>
    </row>
    <row r="695" spans="1:11" x14ac:dyDescent="0.25">
      <c r="A695" s="5"/>
      <c r="B695" s="6"/>
      <c r="C695" s="6"/>
      <c r="D695" s="6"/>
      <c r="E695" s="6"/>
      <c r="F695" s="6"/>
      <c r="G695" s="20"/>
      <c r="H695" s="20"/>
      <c r="I695" s="8"/>
      <c r="J695" s="6"/>
      <c r="K695" s="7"/>
    </row>
    <row r="696" spans="1:11" x14ac:dyDescent="0.25">
      <c r="A696" s="5"/>
      <c r="B696" s="6"/>
      <c r="C696" s="6"/>
      <c r="D696" s="6"/>
      <c r="E696" s="6"/>
      <c r="F696" s="6"/>
      <c r="G696" s="20"/>
      <c r="H696" s="20"/>
      <c r="I696" s="8"/>
      <c r="J696" s="6"/>
      <c r="K696" s="7"/>
    </row>
    <row r="697" spans="1:11" x14ac:dyDescent="0.25">
      <c r="A697" s="5" t="s">
        <v>10</v>
      </c>
      <c r="B697" s="6" t="s">
        <v>2</v>
      </c>
      <c r="C697" s="6" t="s">
        <v>3</v>
      </c>
      <c r="D697" s="6" t="s">
        <v>0</v>
      </c>
      <c r="E697" s="6" t="s">
        <v>15</v>
      </c>
      <c r="F697" s="6" t="s">
        <v>1</v>
      </c>
      <c r="G697" s="20" t="s">
        <v>17</v>
      </c>
      <c r="H697" s="20" t="s">
        <v>16</v>
      </c>
      <c r="I697" s="8" t="s">
        <v>7</v>
      </c>
      <c r="J697" s="6" t="s">
        <v>11</v>
      </c>
      <c r="K697" s="7" t="s">
        <v>12</v>
      </c>
    </row>
    <row r="698" spans="1:11" x14ac:dyDescent="0.25">
      <c r="A698" s="5">
        <v>1</v>
      </c>
      <c r="B698" s="6">
        <f>B683</f>
        <v>4</v>
      </c>
      <c r="C698" s="6">
        <f>C683</f>
        <v>3</v>
      </c>
      <c r="D698" s="8">
        <f>B698*B694+C698*C694+D694</f>
        <v>0.53333333333332833</v>
      </c>
      <c r="E698" s="6">
        <f>IF(D698&gt;=0,$F$1,$E$1)</f>
        <v>1</v>
      </c>
      <c r="F698" s="6">
        <f>$F$8</f>
        <v>1</v>
      </c>
      <c r="G698" s="20" t="str">
        <f>IF(E698&gt;0,"A","B")</f>
        <v>A</v>
      </c>
      <c r="H698" s="20" t="str">
        <f>IF(F698&gt;0,"A","B")</f>
        <v>A</v>
      </c>
      <c r="I698" s="8">
        <f t="shared" ref="I698:I703" si="501">F698-E698</f>
        <v>0</v>
      </c>
      <c r="J698" s="8">
        <f t="shared" ref="J698:J703" si="502">$C$1*I698*B698</f>
        <v>0</v>
      </c>
      <c r="K698" s="9">
        <f t="shared" ref="K698:K703" si="503">$C$1*I698*C698</f>
        <v>0</v>
      </c>
    </row>
    <row r="699" spans="1:11" x14ac:dyDescent="0.25">
      <c r="A699" s="5">
        <v>2</v>
      </c>
      <c r="B699" s="6">
        <f t="shared" ref="B699:C699" si="504">B684</f>
        <v>1</v>
      </c>
      <c r="C699" s="6">
        <f t="shared" si="504"/>
        <v>1</v>
      </c>
      <c r="D699" s="8">
        <f>B699*B694+C699*C694+D694</f>
        <v>-0.54000000000000148</v>
      </c>
      <c r="E699" s="6">
        <f t="shared" ref="E699:E703" si="505">IF(D699&gt;=0,$F$1,$E$1)</f>
        <v>-1</v>
      </c>
      <c r="F699" s="6">
        <f>$F$9</f>
        <v>-1</v>
      </c>
      <c r="G699" s="20" t="str">
        <f t="shared" ref="G699:G703" si="506">IF(E699&gt;0,"A","B")</f>
        <v>B</v>
      </c>
      <c r="H699" s="20" t="str">
        <f t="shared" ref="H699:H703" si="507">IF(F699&gt;0,"A","B")</f>
        <v>B</v>
      </c>
      <c r="I699" s="8">
        <f t="shared" si="501"/>
        <v>0</v>
      </c>
      <c r="J699" s="8">
        <f t="shared" si="502"/>
        <v>0</v>
      </c>
      <c r="K699" s="9">
        <f t="shared" si="503"/>
        <v>0</v>
      </c>
    </row>
    <row r="700" spans="1:11" x14ac:dyDescent="0.25">
      <c r="A700" s="5">
        <v>3</v>
      </c>
      <c r="B700" s="6">
        <f t="shared" ref="B700:C700" si="508">B685</f>
        <v>2</v>
      </c>
      <c r="C700" s="6">
        <f t="shared" si="508"/>
        <v>2</v>
      </c>
      <c r="D700" s="8">
        <f>B700*B694+C700*C694+D694</f>
        <v>-8.0000000000002958E-2</v>
      </c>
      <c r="E700" s="6">
        <f t="shared" si="505"/>
        <v>-1</v>
      </c>
      <c r="F700" s="6">
        <f>$F$10</f>
        <v>-1</v>
      </c>
      <c r="G700" s="20" t="str">
        <f t="shared" si="506"/>
        <v>B</v>
      </c>
      <c r="H700" s="20" t="str">
        <f t="shared" si="507"/>
        <v>B</v>
      </c>
      <c r="I700" s="8">
        <f t="shared" si="501"/>
        <v>0</v>
      </c>
      <c r="J700" s="8">
        <f t="shared" si="502"/>
        <v>0</v>
      </c>
      <c r="K700" s="9">
        <f t="shared" si="503"/>
        <v>0</v>
      </c>
    </row>
    <row r="701" spans="1:11" x14ac:dyDescent="0.25">
      <c r="A701" s="5">
        <v>4</v>
      </c>
      <c r="B701" s="6">
        <f t="shared" ref="B701:C701" si="509">B686</f>
        <v>2</v>
      </c>
      <c r="C701" s="6">
        <f t="shared" si="509"/>
        <v>3</v>
      </c>
      <c r="D701" s="8">
        <f>B701*B694+C701*C694+D694</f>
        <v>0.22666666666666258</v>
      </c>
      <c r="E701" s="6">
        <f t="shared" si="505"/>
        <v>1</v>
      </c>
      <c r="F701" s="6">
        <f>$F$11</f>
        <v>1</v>
      </c>
      <c r="G701" s="20" t="str">
        <f t="shared" si="506"/>
        <v>A</v>
      </c>
      <c r="H701" s="20" t="str">
        <f t="shared" si="507"/>
        <v>A</v>
      </c>
      <c r="I701" s="8">
        <f t="shared" si="501"/>
        <v>0</v>
      </c>
      <c r="J701" s="8">
        <f t="shared" si="502"/>
        <v>0</v>
      </c>
      <c r="K701" s="9">
        <f t="shared" si="503"/>
        <v>0</v>
      </c>
    </row>
    <row r="702" spans="1:11" x14ac:dyDescent="0.25">
      <c r="A702" s="5">
        <v>5</v>
      </c>
      <c r="B702" s="6">
        <f t="shared" ref="B702:C702" si="510">B687</f>
        <v>5</v>
      </c>
      <c r="C702" s="6">
        <f t="shared" si="510"/>
        <v>3</v>
      </c>
      <c r="D702" s="8">
        <f>B702*B694+C702*C694+D694</f>
        <v>0.68666666666666121</v>
      </c>
      <c r="E702" s="6">
        <f t="shared" si="505"/>
        <v>1</v>
      </c>
      <c r="F702" s="6">
        <f>$F$12</f>
        <v>1</v>
      </c>
      <c r="G702" s="20" t="str">
        <f t="shared" si="506"/>
        <v>A</v>
      </c>
      <c r="H702" s="20" t="str">
        <f t="shared" si="507"/>
        <v>A</v>
      </c>
      <c r="I702" s="8">
        <f t="shared" si="501"/>
        <v>0</v>
      </c>
      <c r="J702" s="8">
        <f t="shared" si="502"/>
        <v>0</v>
      </c>
      <c r="K702" s="9">
        <f t="shared" si="503"/>
        <v>0</v>
      </c>
    </row>
    <row r="703" spans="1:11" x14ac:dyDescent="0.25">
      <c r="A703" s="5">
        <v>6</v>
      </c>
      <c r="B703" s="6">
        <f t="shared" ref="B703:C703" si="511">B688</f>
        <v>3</v>
      </c>
      <c r="C703" s="6">
        <f t="shared" si="511"/>
        <v>2</v>
      </c>
      <c r="D703" s="8">
        <f>B703*B694+C703*C694+D694</f>
        <v>7.333333333332992E-2</v>
      </c>
      <c r="E703" s="6">
        <f t="shared" si="505"/>
        <v>1</v>
      </c>
      <c r="F703" s="6">
        <f>$F$13</f>
        <v>-1</v>
      </c>
      <c r="G703" s="20" t="str">
        <f t="shared" si="506"/>
        <v>A</v>
      </c>
      <c r="H703" s="20" t="str">
        <f t="shared" si="507"/>
        <v>B</v>
      </c>
      <c r="I703" s="8">
        <f t="shared" si="501"/>
        <v>-2</v>
      </c>
      <c r="J703" s="8">
        <f t="shared" si="502"/>
        <v>-0.06</v>
      </c>
      <c r="K703" s="9">
        <f t="shared" si="503"/>
        <v>-0.04</v>
      </c>
    </row>
    <row r="704" spans="1:11" x14ac:dyDescent="0.25">
      <c r="A704" s="5"/>
      <c r="B704" s="6"/>
      <c r="C704" s="6"/>
      <c r="D704" s="6"/>
      <c r="E704" s="6"/>
      <c r="F704" s="6"/>
      <c r="G704" s="20" t="s">
        <v>8</v>
      </c>
      <c r="H704" s="20"/>
      <c r="I704" s="8">
        <f>SUM(I698:I703)</f>
        <v>-2</v>
      </c>
      <c r="J704" s="8">
        <f>AVERAGE(J698:J703)</f>
        <v>-0.01</v>
      </c>
      <c r="K704" s="9">
        <f>AVERAGE(K698:K703)</f>
        <v>-6.6666666666666671E-3</v>
      </c>
    </row>
    <row r="705" spans="1:11" x14ac:dyDescent="0.25">
      <c r="A705" s="5"/>
      <c r="B705" s="6"/>
      <c r="C705" s="6"/>
      <c r="D705" s="6"/>
      <c r="E705" s="6"/>
      <c r="F705" s="6"/>
      <c r="G705" s="20" t="s">
        <v>9</v>
      </c>
      <c r="H705" s="20"/>
      <c r="I705" s="8">
        <f>SUMSQ(I698:I703)</f>
        <v>4</v>
      </c>
      <c r="J705" s="10"/>
      <c r="K705" s="15"/>
    </row>
    <row r="706" spans="1:11" x14ac:dyDescent="0.25">
      <c r="A706" s="11"/>
      <c r="B706" s="12"/>
      <c r="C706" s="12"/>
      <c r="D706" s="12"/>
      <c r="E706" s="12"/>
      <c r="F706" s="12"/>
      <c r="G706" s="21"/>
      <c r="H706" s="21"/>
      <c r="I706" s="18"/>
      <c r="J706" s="13"/>
      <c r="K706" s="16"/>
    </row>
    <row r="707" spans="1:11" x14ac:dyDescent="0.25">
      <c r="A707" s="2" t="s">
        <v>13</v>
      </c>
      <c r="B707" s="3">
        <f>B692+1</f>
        <v>48</v>
      </c>
      <c r="C707" s="3"/>
      <c r="D707" s="3"/>
      <c r="E707" s="3"/>
      <c r="F707" s="3"/>
      <c r="G707" s="19"/>
      <c r="H707" s="19"/>
      <c r="I707" s="17"/>
      <c r="J707" s="3"/>
      <c r="K707" s="4"/>
    </row>
    <row r="708" spans="1:11" x14ac:dyDescent="0.25">
      <c r="A708" s="5"/>
      <c r="B708" s="6" t="s">
        <v>4</v>
      </c>
      <c r="C708" s="6" t="s">
        <v>5</v>
      </c>
      <c r="D708" s="6" t="s">
        <v>6</v>
      </c>
      <c r="E708" s="6"/>
      <c r="F708" s="6"/>
      <c r="G708" s="20"/>
      <c r="H708" s="20"/>
      <c r="I708" s="8"/>
      <c r="J708" s="6"/>
      <c r="K708" s="7"/>
    </row>
    <row r="709" spans="1:11" x14ac:dyDescent="0.25">
      <c r="A709" s="5">
        <v>1</v>
      </c>
      <c r="B709" s="14">
        <f>B694+J704</f>
        <v>0.14333333333333287</v>
      </c>
      <c r="C709" s="14">
        <f>C694+K704</f>
        <v>0.29999999999999899</v>
      </c>
      <c r="D709" s="6">
        <f>D694</f>
        <v>-1</v>
      </c>
      <c r="E709" s="6"/>
      <c r="F709" s="6"/>
      <c r="G709" s="20"/>
      <c r="H709" s="20"/>
      <c r="I709" s="8"/>
      <c r="J709" s="6"/>
      <c r="K709" s="7"/>
    </row>
    <row r="710" spans="1:11" x14ac:dyDescent="0.25">
      <c r="A710" s="5"/>
      <c r="B710" s="6"/>
      <c r="C710" s="6"/>
      <c r="D710" s="6"/>
      <c r="E710" s="6"/>
      <c r="F710" s="6"/>
      <c r="G710" s="20"/>
      <c r="H710" s="20"/>
      <c r="I710" s="8"/>
      <c r="J710" s="6"/>
      <c r="K710" s="7"/>
    </row>
    <row r="711" spans="1:11" x14ac:dyDescent="0.25">
      <c r="A711" s="5"/>
      <c r="B711" s="6"/>
      <c r="C711" s="6"/>
      <c r="D711" s="6"/>
      <c r="E711" s="6"/>
      <c r="F711" s="6"/>
      <c r="G711" s="20"/>
      <c r="H711" s="20"/>
      <c r="I711" s="8"/>
      <c r="J711" s="6"/>
      <c r="K711" s="7"/>
    </row>
    <row r="712" spans="1:11" x14ac:dyDescent="0.25">
      <c r="A712" s="5" t="s">
        <v>10</v>
      </c>
      <c r="B712" s="6" t="s">
        <v>2</v>
      </c>
      <c r="C712" s="6" t="s">
        <v>3</v>
      </c>
      <c r="D712" s="6" t="s">
        <v>0</v>
      </c>
      <c r="E712" s="6" t="s">
        <v>15</v>
      </c>
      <c r="F712" s="6" t="s">
        <v>1</v>
      </c>
      <c r="G712" s="20" t="s">
        <v>17</v>
      </c>
      <c r="H712" s="20" t="s">
        <v>16</v>
      </c>
      <c r="I712" s="8" t="s">
        <v>7</v>
      </c>
      <c r="J712" s="6" t="s">
        <v>11</v>
      </c>
      <c r="K712" s="7" t="s">
        <v>12</v>
      </c>
    </row>
    <row r="713" spans="1:11" x14ac:dyDescent="0.25">
      <c r="A713" s="5">
        <v>1</v>
      </c>
      <c r="B713" s="6">
        <f>B698</f>
        <v>4</v>
      </c>
      <c r="C713" s="6">
        <f>C698</f>
        <v>3</v>
      </c>
      <c r="D713" s="8">
        <f>B713*B709+C713*C709+D709</f>
        <v>0.4733333333333285</v>
      </c>
      <c r="E713" s="6">
        <f>IF(D713&gt;=0,$F$1,$E$1)</f>
        <v>1</v>
      </c>
      <c r="F713" s="6">
        <f>$F$8</f>
        <v>1</v>
      </c>
      <c r="G713" s="20" t="str">
        <f>IF(E713&gt;0,"A","B")</f>
        <v>A</v>
      </c>
      <c r="H713" s="20" t="str">
        <f>IF(F713&gt;0,"A","B")</f>
        <v>A</v>
      </c>
      <c r="I713" s="8">
        <f t="shared" ref="I713:I718" si="512">F713-E713</f>
        <v>0</v>
      </c>
      <c r="J713" s="8">
        <f t="shared" ref="J713:J718" si="513">$C$1*I713*B713</f>
        <v>0</v>
      </c>
      <c r="K713" s="9">
        <f t="shared" ref="K713:K718" si="514">$C$1*I713*C713</f>
        <v>0</v>
      </c>
    </row>
    <row r="714" spans="1:11" x14ac:dyDescent="0.25">
      <c r="A714" s="5">
        <v>2</v>
      </c>
      <c r="B714" s="6">
        <f t="shared" ref="B714:C714" si="515">B699</f>
        <v>1</v>
      </c>
      <c r="C714" s="6">
        <f t="shared" si="515"/>
        <v>1</v>
      </c>
      <c r="D714" s="8">
        <f>B714*B709+C714*C709+D709</f>
        <v>-0.5566666666666682</v>
      </c>
      <c r="E714" s="6">
        <f t="shared" ref="E714:E718" si="516">IF(D714&gt;=0,$F$1,$E$1)</f>
        <v>-1</v>
      </c>
      <c r="F714" s="6">
        <f>$F$9</f>
        <v>-1</v>
      </c>
      <c r="G714" s="20" t="str">
        <f t="shared" ref="G714:G718" si="517">IF(E714&gt;0,"A","B")</f>
        <v>B</v>
      </c>
      <c r="H714" s="20" t="str">
        <f t="shared" ref="H714:H718" si="518">IF(F714&gt;0,"A","B")</f>
        <v>B</v>
      </c>
      <c r="I714" s="8">
        <f t="shared" si="512"/>
        <v>0</v>
      </c>
      <c r="J714" s="8">
        <f t="shared" si="513"/>
        <v>0</v>
      </c>
      <c r="K714" s="9">
        <f t="shared" si="514"/>
        <v>0</v>
      </c>
    </row>
    <row r="715" spans="1:11" x14ac:dyDescent="0.25">
      <c r="A715" s="5">
        <v>3</v>
      </c>
      <c r="B715" s="6">
        <f t="shared" ref="B715:C715" si="519">B700</f>
        <v>2</v>
      </c>
      <c r="C715" s="6">
        <f t="shared" si="519"/>
        <v>2</v>
      </c>
      <c r="D715" s="8">
        <f>B715*B709+C715*C709+D709</f>
        <v>-0.11333333333333628</v>
      </c>
      <c r="E715" s="6">
        <f t="shared" si="516"/>
        <v>-1</v>
      </c>
      <c r="F715" s="6">
        <f>$F$10</f>
        <v>-1</v>
      </c>
      <c r="G715" s="20" t="str">
        <f t="shared" si="517"/>
        <v>B</v>
      </c>
      <c r="H715" s="20" t="str">
        <f t="shared" si="518"/>
        <v>B</v>
      </c>
      <c r="I715" s="8">
        <f t="shared" si="512"/>
        <v>0</v>
      </c>
      <c r="J715" s="8">
        <f t="shared" si="513"/>
        <v>0</v>
      </c>
      <c r="K715" s="9">
        <f t="shared" si="514"/>
        <v>0</v>
      </c>
    </row>
    <row r="716" spans="1:11" x14ac:dyDescent="0.25">
      <c r="A716" s="5">
        <v>4</v>
      </c>
      <c r="B716" s="6">
        <f t="shared" ref="B716:C716" si="520">B701</f>
        <v>2</v>
      </c>
      <c r="C716" s="6">
        <f t="shared" si="520"/>
        <v>3</v>
      </c>
      <c r="D716" s="8">
        <f>B716*B709+C716*C709+D709</f>
        <v>0.18666666666666276</v>
      </c>
      <c r="E716" s="6">
        <f t="shared" si="516"/>
        <v>1</v>
      </c>
      <c r="F716" s="6">
        <f>$F$11</f>
        <v>1</v>
      </c>
      <c r="G716" s="20" t="str">
        <f t="shared" si="517"/>
        <v>A</v>
      </c>
      <c r="H716" s="20" t="str">
        <f t="shared" si="518"/>
        <v>A</v>
      </c>
      <c r="I716" s="8">
        <f t="shared" si="512"/>
        <v>0</v>
      </c>
      <c r="J716" s="8">
        <f t="shared" si="513"/>
        <v>0</v>
      </c>
      <c r="K716" s="9">
        <f t="shared" si="514"/>
        <v>0</v>
      </c>
    </row>
    <row r="717" spans="1:11" x14ac:dyDescent="0.25">
      <c r="A717" s="5">
        <v>5</v>
      </c>
      <c r="B717" s="6">
        <f t="shared" ref="B717:C717" si="521">B702</f>
        <v>5</v>
      </c>
      <c r="C717" s="6">
        <f t="shared" si="521"/>
        <v>3</v>
      </c>
      <c r="D717" s="8">
        <f>B717*B709+C717*C709+D709</f>
        <v>0.61666666666666137</v>
      </c>
      <c r="E717" s="6">
        <f t="shared" si="516"/>
        <v>1</v>
      </c>
      <c r="F717" s="6">
        <f>$F$12</f>
        <v>1</v>
      </c>
      <c r="G717" s="20" t="str">
        <f t="shared" si="517"/>
        <v>A</v>
      </c>
      <c r="H717" s="20" t="str">
        <f t="shared" si="518"/>
        <v>A</v>
      </c>
      <c r="I717" s="8">
        <f t="shared" si="512"/>
        <v>0</v>
      </c>
      <c r="J717" s="8">
        <f t="shared" si="513"/>
        <v>0</v>
      </c>
      <c r="K717" s="9">
        <f t="shared" si="514"/>
        <v>0</v>
      </c>
    </row>
    <row r="718" spans="1:11" x14ac:dyDescent="0.25">
      <c r="A718" s="5">
        <v>6</v>
      </c>
      <c r="B718" s="6">
        <f t="shared" ref="B718:C718" si="522">B703</f>
        <v>3</v>
      </c>
      <c r="C718" s="6">
        <f t="shared" si="522"/>
        <v>2</v>
      </c>
      <c r="D718" s="8">
        <f>B718*B709+C718*C709+D709</f>
        <v>2.9999999999996696E-2</v>
      </c>
      <c r="E718" s="6">
        <f t="shared" si="516"/>
        <v>1</v>
      </c>
      <c r="F718" s="6">
        <f>$F$13</f>
        <v>-1</v>
      </c>
      <c r="G718" s="20" t="str">
        <f t="shared" si="517"/>
        <v>A</v>
      </c>
      <c r="H718" s="20" t="str">
        <f t="shared" si="518"/>
        <v>B</v>
      </c>
      <c r="I718" s="8">
        <f t="shared" si="512"/>
        <v>-2</v>
      </c>
      <c r="J718" s="8">
        <f t="shared" si="513"/>
        <v>-0.06</v>
      </c>
      <c r="K718" s="9">
        <f t="shared" si="514"/>
        <v>-0.04</v>
      </c>
    </row>
    <row r="719" spans="1:11" x14ac:dyDescent="0.25">
      <c r="A719" s="5"/>
      <c r="B719" s="6"/>
      <c r="C719" s="6"/>
      <c r="D719" s="6"/>
      <c r="E719" s="6"/>
      <c r="F719" s="6"/>
      <c r="G719" s="20" t="s">
        <v>8</v>
      </c>
      <c r="H719" s="20"/>
      <c r="I719" s="8">
        <f>SUM(I713:I718)</f>
        <v>-2</v>
      </c>
      <c r="J719" s="8">
        <f>AVERAGE(J713:J718)</f>
        <v>-0.01</v>
      </c>
      <c r="K719" s="9">
        <f>AVERAGE(K713:K718)</f>
        <v>-6.6666666666666671E-3</v>
      </c>
    </row>
    <row r="720" spans="1:11" x14ac:dyDescent="0.25">
      <c r="A720" s="5"/>
      <c r="B720" s="6"/>
      <c r="C720" s="6"/>
      <c r="D720" s="6"/>
      <c r="E720" s="6"/>
      <c r="F720" s="6"/>
      <c r="G720" s="20" t="s">
        <v>9</v>
      </c>
      <c r="H720" s="20"/>
      <c r="I720" s="8">
        <f>SUMSQ(I713:I718)</f>
        <v>4</v>
      </c>
      <c r="J720" s="10"/>
      <c r="K720" s="15"/>
    </row>
    <row r="721" spans="1:11" x14ac:dyDescent="0.25">
      <c r="A721" s="11"/>
      <c r="B721" s="12"/>
      <c r="C721" s="12"/>
      <c r="D721" s="12"/>
      <c r="E721" s="12"/>
      <c r="F721" s="12"/>
      <c r="G721" s="21"/>
      <c r="H721" s="21"/>
      <c r="I721" s="18"/>
      <c r="J721" s="13"/>
      <c r="K721" s="16"/>
    </row>
    <row r="722" spans="1:11" x14ac:dyDescent="0.25">
      <c r="A722" s="2" t="s">
        <v>13</v>
      </c>
      <c r="B722" s="3">
        <f>B707+1</f>
        <v>49</v>
      </c>
      <c r="C722" s="3"/>
      <c r="D722" s="3"/>
      <c r="E722" s="3"/>
      <c r="F722" s="3"/>
      <c r="G722" s="19"/>
      <c r="H722" s="19"/>
      <c r="I722" s="17"/>
      <c r="J722" s="3"/>
      <c r="K722" s="4"/>
    </row>
    <row r="723" spans="1:11" x14ac:dyDescent="0.25">
      <c r="A723" s="5"/>
      <c r="B723" s="6" t="s">
        <v>4</v>
      </c>
      <c r="C723" s="6" t="s">
        <v>5</v>
      </c>
      <c r="D723" s="6" t="s">
        <v>6</v>
      </c>
      <c r="E723" s="6"/>
      <c r="F723" s="6"/>
      <c r="G723" s="20"/>
      <c r="H723" s="20"/>
      <c r="I723" s="8"/>
      <c r="J723" s="6"/>
      <c r="K723" s="7"/>
    </row>
    <row r="724" spans="1:11" x14ac:dyDescent="0.25">
      <c r="A724" s="5">
        <v>1</v>
      </c>
      <c r="B724" s="14">
        <f>B709+J719</f>
        <v>0.13333333333333286</v>
      </c>
      <c r="C724" s="14">
        <f>C709+K719</f>
        <v>0.29333333333333234</v>
      </c>
      <c r="D724" s="6">
        <f>D709</f>
        <v>-1</v>
      </c>
      <c r="E724" s="6"/>
      <c r="F724" s="6"/>
      <c r="G724" s="20"/>
      <c r="H724" s="20"/>
      <c r="I724" s="8"/>
      <c r="J724" s="6"/>
      <c r="K724" s="7"/>
    </row>
    <row r="725" spans="1:11" x14ac:dyDescent="0.25">
      <c r="A725" s="5"/>
      <c r="B725" s="6"/>
      <c r="C725" s="6"/>
      <c r="D725" s="6"/>
      <c r="E725" s="6"/>
      <c r="F725" s="6"/>
      <c r="G725" s="20"/>
      <c r="H725" s="20"/>
      <c r="I725" s="8"/>
      <c r="J725" s="6"/>
      <c r="K725" s="7"/>
    </row>
    <row r="726" spans="1:11" x14ac:dyDescent="0.25">
      <c r="A726" s="5"/>
      <c r="B726" s="6"/>
      <c r="C726" s="6"/>
      <c r="D726" s="6"/>
      <c r="E726" s="6"/>
      <c r="F726" s="6"/>
      <c r="G726" s="20"/>
      <c r="H726" s="20"/>
      <c r="I726" s="8"/>
      <c r="J726" s="6"/>
      <c r="K726" s="7"/>
    </row>
    <row r="727" spans="1:11" x14ac:dyDescent="0.25">
      <c r="A727" s="5" t="s">
        <v>10</v>
      </c>
      <c r="B727" s="6" t="s">
        <v>2</v>
      </c>
      <c r="C727" s="6" t="s">
        <v>3</v>
      </c>
      <c r="D727" s="6" t="s">
        <v>0</v>
      </c>
      <c r="E727" s="6" t="s">
        <v>15</v>
      </c>
      <c r="F727" s="6" t="s">
        <v>1</v>
      </c>
      <c r="G727" s="20" t="s">
        <v>17</v>
      </c>
      <c r="H727" s="20" t="s">
        <v>16</v>
      </c>
      <c r="I727" s="8" t="s">
        <v>7</v>
      </c>
      <c r="J727" s="6" t="s">
        <v>11</v>
      </c>
      <c r="K727" s="7" t="s">
        <v>12</v>
      </c>
    </row>
    <row r="728" spans="1:11" x14ac:dyDescent="0.25">
      <c r="A728" s="5">
        <v>1</v>
      </c>
      <c r="B728" s="6">
        <f>B713</f>
        <v>4</v>
      </c>
      <c r="C728" s="6">
        <f>C713</f>
        <v>3</v>
      </c>
      <c r="D728" s="8">
        <f>B728*B724+C728*C724+D724</f>
        <v>0.41333333333332845</v>
      </c>
      <c r="E728" s="6">
        <f>IF(D728&gt;=0,$F$1,$E$1)</f>
        <v>1</v>
      </c>
      <c r="F728" s="6">
        <f>$F$8</f>
        <v>1</v>
      </c>
      <c r="G728" s="20" t="str">
        <f>IF(E728&gt;0,"A","B")</f>
        <v>A</v>
      </c>
      <c r="H728" s="20" t="str">
        <f>IF(F728&gt;0,"A","B")</f>
        <v>A</v>
      </c>
      <c r="I728" s="8">
        <f t="shared" ref="I728:I733" si="523">F728-E728</f>
        <v>0</v>
      </c>
      <c r="J728" s="8">
        <f t="shared" ref="J728:J733" si="524">$C$1*I728*B728</f>
        <v>0</v>
      </c>
      <c r="K728" s="9">
        <f t="shared" ref="K728:K733" si="525">$C$1*I728*C728</f>
        <v>0</v>
      </c>
    </row>
    <row r="729" spans="1:11" x14ac:dyDescent="0.25">
      <c r="A729" s="5">
        <v>2</v>
      </c>
      <c r="B729" s="6">
        <f t="shared" ref="B729:C729" si="526">B714</f>
        <v>1</v>
      </c>
      <c r="C729" s="6">
        <f t="shared" si="526"/>
        <v>1</v>
      </c>
      <c r="D729" s="8">
        <f>B729*B724+C729*C724+D724</f>
        <v>-0.5733333333333348</v>
      </c>
      <c r="E729" s="6">
        <f t="shared" ref="E729:E733" si="527">IF(D729&gt;=0,$F$1,$E$1)</f>
        <v>-1</v>
      </c>
      <c r="F729" s="6">
        <f>$F$9</f>
        <v>-1</v>
      </c>
      <c r="G729" s="20" t="str">
        <f t="shared" ref="G729:G733" si="528">IF(E729&gt;0,"A","B")</f>
        <v>B</v>
      </c>
      <c r="H729" s="20" t="str">
        <f t="shared" ref="H729:H733" si="529">IF(F729&gt;0,"A","B")</f>
        <v>B</v>
      </c>
      <c r="I729" s="8">
        <f t="shared" si="523"/>
        <v>0</v>
      </c>
      <c r="J729" s="8">
        <f t="shared" si="524"/>
        <v>0</v>
      </c>
      <c r="K729" s="9">
        <f t="shared" si="525"/>
        <v>0</v>
      </c>
    </row>
    <row r="730" spans="1:11" x14ac:dyDescent="0.25">
      <c r="A730" s="5">
        <v>3</v>
      </c>
      <c r="B730" s="6">
        <f t="shared" ref="B730:C730" si="530">B715</f>
        <v>2</v>
      </c>
      <c r="C730" s="6">
        <f t="shared" si="530"/>
        <v>2</v>
      </c>
      <c r="D730" s="8">
        <f>B730*B724+C730*C724+D724</f>
        <v>-0.14666666666666961</v>
      </c>
      <c r="E730" s="6">
        <f t="shared" si="527"/>
        <v>-1</v>
      </c>
      <c r="F730" s="6">
        <f>$F$10</f>
        <v>-1</v>
      </c>
      <c r="G730" s="20" t="str">
        <f t="shared" si="528"/>
        <v>B</v>
      </c>
      <c r="H730" s="20" t="str">
        <f t="shared" si="529"/>
        <v>B</v>
      </c>
      <c r="I730" s="8">
        <f t="shared" si="523"/>
        <v>0</v>
      </c>
      <c r="J730" s="8">
        <f t="shared" si="524"/>
        <v>0</v>
      </c>
      <c r="K730" s="9">
        <f t="shared" si="525"/>
        <v>0</v>
      </c>
    </row>
    <row r="731" spans="1:11" x14ac:dyDescent="0.25">
      <c r="A731" s="5">
        <v>4</v>
      </c>
      <c r="B731" s="6">
        <f t="shared" ref="B731:C731" si="531">B716</f>
        <v>2</v>
      </c>
      <c r="C731" s="6">
        <f t="shared" si="531"/>
        <v>3</v>
      </c>
      <c r="D731" s="8">
        <f>B731*B724+C731*C724+D724</f>
        <v>0.14666666666666273</v>
      </c>
      <c r="E731" s="6">
        <f t="shared" si="527"/>
        <v>1</v>
      </c>
      <c r="F731" s="6">
        <f>$F$11</f>
        <v>1</v>
      </c>
      <c r="G731" s="20" t="str">
        <f t="shared" si="528"/>
        <v>A</v>
      </c>
      <c r="H731" s="20" t="str">
        <f t="shared" si="529"/>
        <v>A</v>
      </c>
      <c r="I731" s="8">
        <f t="shared" si="523"/>
        <v>0</v>
      </c>
      <c r="J731" s="8">
        <f t="shared" si="524"/>
        <v>0</v>
      </c>
      <c r="K731" s="9">
        <f t="shared" si="525"/>
        <v>0</v>
      </c>
    </row>
    <row r="732" spans="1:11" x14ac:dyDescent="0.25">
      <c r="A732" s="5">
        <v>5</v>
      </c>
      <c r="B732" s="6">
        <f t="shared" ref="B732:C732" si="532">B717</f>
        <v>5</v>
      </c>
      <c r="C732" s="6">
        <f t="shared" si="532"/>
        <v>3</v>
      </c>
      <c r="D732" s="8">
        <f>B732*B724+C732*C724+D724</f>
        <v>0.54666666666666131</v>
      </c>
      <c r="E732" s="6">
        <f t="shared" si="527"/>
        <v>1</v>
      </c>
      <c r="F732" s="6">
        <f>$F$12</f>
        <v>1</v>
      </c>
      <c r="G732" s="20" t="str">
        <f t="shared" si="528"/>
        <v>A</v>
      </c>
      <c r="H732" s="20" t="str">
        <f t="shared" si="529"/>
        <v>A</v>
      </c>
      <c r="I732" s="8">
        <f t="shared" si="523"/>
        <v>0</v>
      </c>
      <c r="J732" s="8">
        <f t="shared" si="524"/>
        <v>0</v>
      </c>
      <c r="K732" s="9">
        <f t="shared" si="525"/>
        <v>0</v>
      </c>
    </row>
    <row r="733" spans="1:11" x14ac:dyDescent="0.25">
      <c r="A733" s="5">
        <v>6</v>
      </c>
      <c r="B733" s="6">
        <f t="shared" ref="B733:C733" si="533">B718</f>
        <v>3</v>
      </c>
      <c r="C733" s="6">
        <f t="shared" si="533"/>
        <v>2</v>
      </c>
      <c r="D733" s="8">
        <f>B733*B724+C733*C724+D724</f>
        <v>-1.333333333333675E-2</v>
      </c>
      <c r="E733" s="6">
        <f t="shared" si="527"/>
        <v>-1</v>
      </c>
      <c r="F733" s="6">
        <f>$F$13</f>
        <v>-1</v>
      </c>
      <c r="G733" s="20" t="str">
        <f t="shared" si="528"/>
        <v>B</v>
      </c>
      <c r="H733" s="20" t="str">
        <f t="shared" si="529"/>
        <v>B</v>
      </c>
      <c r="I733" s="8">
        <f t="shared" si="523"/>
        <v>0</v>
      </c>
      <c r="J733" s="8">
        <f t="shared" si="524"/>
        <v>0</v>
      </c>
      <c r="K733" s="9">
        <f t="shared" si="525"/>
        <v>0</v>
      </c>
    </row>
    <row r="734" spans="1:11" x14ac:dyDescent="0.25">
      <c r="A734" s="5"/>
      <c r="B734" s="6"/>
      <c r="C734" s="6"/>
      <c r="D734" s="6"/>
      <c r="E734" s="6"/>
      <c r="F734" s="6"/>
      <c r="G734" s="20" t="s">
        <v>8</v>
      </c>
      <c r="H734" s="20"/>
      <c r="I734" s="8">
        <f>SUM(I728:I733)</f>
        <v>0</v>
      </c>
      <c r="J734" s="8">
        <f>AVERAGE(J728:J733)</f>
        <v>0</v>
      </c>
      <c r="K734" s="9">
        <f>AVERAGE(K728:K733)</f>
        <v>0</v>
      </c>
    </row>
    <row r="735" spans="1:11" x14ac:dyDescent="0.25">
      <c r="A735" s="5"/>
      <c r="B735" s="6"/>
      <c r="C735" s="6"/>
      <c r="D735" s="6"/>
      <c r="E735" s="6"/>
      <c r="F735" s="6"/>
      <c r="G735" s="20" t="s">
        <v>9</v>
      </c>
      <c r="H735" s="20"/>
      <c r="I735" s="8">
        <f>SUMSQ(I728:I733)</f>
        <v>0</v>
      </c>
      <c r="J735" s="10"/>
      <c r="K735" s="15"/>
    </row>
    <row r="736" spans="1:11" x14ac:dyDescent="0.25">
      <c r="A736" s="11"/>
      <c r="B736" s="12"/>
      <c r="C736" s="12"/>
      <c r="D736" s="12"/>
      <c r="E736" s="12"/>
      <c r="F736" s="12"/>
      <c r="G736" s="21"/>
      <c r="H736" s="21"/>
      <c r="I736" s="18"/>
      <c r="J736" s="13"/>
      <c r="K736" s="16"/>
    </row>
    <row r="737" spans="1:11" x14ac:dyDescent="0.25">
      <c r="A737" s="2" t="s">
        <v>13</v>
      </c>
      <c r="B737" s="3">
        <f>B722+1</f>
        <v>50</v>
      </c>
      <c r="C737" s="3"/>
      <c r="D737" s="3"/>
      <c r="E737" s="3"/>
      <c r="F737" s="3"/>
      <c r="G737" s="19"/>
      <c r="H737" s="19"/>
      <c r="I737" s="17"/>
      <c r="J737" s="3"/>
      <c r="K737" s="4"/>
    </row>
    <row r="738" spans="1:11" x14ac:dyDescent="0.25">
      <c r="A738" s="5"/>
      <c r="B738" s="6" t="s">
        <v>4</v>
      </c>
      <c r="C738" s="6" t="s">
        <v>5</v>
      </c>
      <c r="D738" s="6" t="s">
        <v>6</v>
      </c>
      <c r="E738" s="6"/>
      <c r="F738" s="6"/>
      <c r="G738" s="20"/>
      <c r="H738" s="20"/>
      <c r="I738" s="8"/>
      <c r="J738" s="6"/>
      <c r="K738" s="7"/>
    </row>
    <row r="739" spans="1:11" x14ac:dyDescent="0.25">
      <c r="A739" s="5">
        <v>1</v>
      </c>
      <c r="B739" s="14">
        <f>B724+J734</f>
        <v>0.13333333333333286</v>
      </c>
      <c r="C739" s="14">
        <f>C724+K734</f>
        <v>0.29333333333333234</v>
      </c>
      <c r="D739" s="6">
        <f>D724</f>
        <v>-1</v>
      </c>
      <c r="E739" s="6"/>
      <c r="F739" s="6"/>
      <c r="G739" s="20"/>
      <c r="H739" s="20"/>
      <c r="I739" s="8"/>
      <c r="J739" s="6"/>
      <c r="K739" s="7"/>
    </row>
    <row r="740" spans="1:11" x14ac:dyDescent="0.25">
      <c r="A740" s="5"/>
      <c r="B740" s="6"/>
      <c r="C740" s="6"/>
      <c r="D740" s="6"/>
      <c r="E740" s="6"/>
      <c r="F740" s="6"/>
      <c r="G740" s="20"/>
      <c r="H740" s="20"/>
      <c r="I740" s="8"/>
      <c r="J740" s="6"/>
      <c r="K740" s="7"/>
    </row>
    <row r="741" spans="1:11" x14ac:dyDescent="0.25">
      <c r="A741" s="5"/>
      <c r="B741" s="6"/>
      <c r="C741" s="6"/>
      <c r="D741" s="6"/>
      <c r="E741" s="6"/>
      <c r="F741" s="6"/>
      <c r="G741" s="20"/>
      <c r="H741" s="20"/>
      <c r="I741" s="8"/>
      <c r="J741" s="6"/>
      <c r="K741" s="7"/>
    </row>
    <row r="742" spans="1:11" x14ac:dyDescent="0.25">
      <c r="A742" s="5" t="s">
        <v>10</v>
      </c>
      <c r="B742" s="6" t="s">
        <v>2</v>
      </c>
      <c r="C742" s="6" t="s">
        <v>3</v>
      </c>
      <c r="D742" s="6" t="s">
        <v>0</v>
      </c>
      <c r="E742" s="6" t="s">
        <v>15</v>
      </c>
      <c r="F742" s="6" t="s">
        <v>1</v>
      </c>
      <c r="G742" s="20" t="s">
        <v>17</v>
      </c>
      <c r="H742" s="20" t="s">
        <v>16</v>
      </c>
      <c r="I742" s="8" t="s">
        <v>7</v>
      </c>
      <c r="J742" s="6" t="s">
        <v>11</v>
      </c>
      <c r="K742" s="7" t="s">
        <v>12</v>
      </c>
    </row>
    <row r="743" spans="1:11" x14ac:dyDescent="0.25">
      <c r="A743" s="5">
        <v>1</v>
      </c>
      <c r="B743" s="6">
        <f>B728</f>
        <v>4</v>
      </c>
      <c r="C743" s="6">
        <f>C728</f>
        <v>3</v>
      </c>
      <c r="D743" s="8">
        <f>B743*B739+C743*C739+D739</f>
        <v>0.41333333333332845</v>
      </c>
      <c r="E743" s="6">
        <f>IF(D743&gt;=0,$F$1,$E$1)</f>
        <v>1</v>
      </c>
      <c r="F743" s="6">
        <f>$F$8</f>
        <v>1</v>
      </c>
      <c r="G743" s="20" t="str">
        <f>IF(E743&gt;0,"A","B")</f>
        <v>A</v>
      </c>
      <c r="H743" s="20" t="str">
        <f>IF(F743&gt;0,"A","B")</f>
        <v>A</v>
      </c>
      <c r="I743" s="8">
        <f t="shared" ref="I743:I748" si="534">F743-E743</f>
        <v>0</v>
      </c>
      <c r="J743" s="8">
        <f t="shared" ref="J743:J748" si="535">$C$1*I743*B743</f>
        <v>0</v>
      </c>
      <c r="K743" s="9">
        <f t="shared" ref="K743:K748" si="536">$C$1*I743*C743</f>
        <v>0</v>
      </c>
    </row>
    <row r="744" spans="1:11" x14ac:dyDescent="0.25">
      <c r="A744" s="5">
        <v>2</v>
      </c>
      <c r="B744" s="6">
        <f t="shared" ref="B744:C744" si="537">B729</f>
        <v>1</v>
      </c>
      <c r="C744" s="6">
        <f t="shared" si="537"/>
        <v>1</v>
      </c>
      <c r="D744" s="8">
        <f>B744*B739+C744*C739+D739</f>
        <v>-0.5733333333333348</v>
      </c>
      <c r="E744" s="6">
        <f t="shared" ref="E744:E748" si="538">IF(D744&gt;=0,$F$1,$E$1)</f>
        <v>-1</v>
      </c>
      <c r="F744" s="6">
        <f>$F$9</f>
        <v>-1</v>
      </c>
      <c r="G744" s="20" t="str">
        <f t="shared" ref="G744:G748" si="539">IF(E744&gt;0,"A","B")</f>
        <v>B</v>
      </c>
      <c r="H744" s="20" t="str">
        <f t="shared" ref="H744:H748" si="540">IF(F744&gt;0,"A","B")</f>
        <v>B</v>
      </c>
      <c r="I744" s="8">
        <f t="shared" si="534"/>
        <v>0</v>
      </c>
      <c r="J744" s="8">
        <f t="shared" si="535"/>
        <v>0</v>
      </c>
      <c r="K744" s="9">
        <f t="shared" si="536"/>
        <v>0</v>
      </c>
    </row>
    <row r="745" spans="1:11" x14ac:dyDescent="0.25">
      <c r="A745" s="5">
        <v>3</v>
      </c>
      <c r="B745" s="6">
        <f t="shared" ref="B745:C745" si="541">B730</f>
        <v>2</v>
      </c>
      <c r="C745" s="6">
        <f t="shared" si="541"/>
        <v>2</v>
      </c>
      <c r="D745" s="8">
        <f>B745*B739+C745*C739+D739</f>
        <v>-0.14666666666666961</v>
      </c>
      <c r="E745" s="6">
        <f t="shared" si="538"/>
        <v>-1</v>
      </c>
      <c r="F745" s="6">
        <f>$F$10</f>
        <v>-1</v>
      </c>
      <c r="G745" s="20" t="str">
        <f t="shared" si="539"/>
        <v>B</v>
      </c>
      <c r="H745" s="20" t="str">
        <f t="shared" si="540"/>
        <v>B</v>
      </c>
      <c r="I745" s="8">
        <f t="shared" si="534"/>
        <v>0</v>
      </c>
      <c r="J745" s="8">
        <f t="shared" si="535"/>
        <v>0</v>
      </c>
      <c r="K745" s="9">
        <f t="shared" si="536"/>
        <v>0</v>
      </c>
    </row>
    <row r="746" spans="1:11" x14ac:dyDescent="0.25">
      <c r="A746" s="5">
        <v>4</v>
      </c>
      <c r="B746" s="6">
        <f t="shared" ref="B746:C746" si="542">B731</f>
        <v>2</v>
      </c>
      <c r="C746" s="6">
        <f t="shared" si="542"/>
        <v>3</v>
      </c>
      <c r="D746" s="8">
        <f>B746*B739+C746*C739+D739</f>
        <v>0.14666666666666273</v>
      </c>
      <c r="E746" s="6">
        <f t="shared" si="538"/>
        <v>1</v>
      </c>
      <c r="F746" s="6">
        <f>$F$11</f>
        <v>1</v>
      </c>
      <c r="G746" s="20" t="str">
        <f t="shared" si="539"/>
        <v>A</v>
      </c>
      <c r="H746" s="20" t="str">
        <f t="shared" si="540"/>
        <v>A</v>
      </c>
      <c r="I746" s="8">
        <f t="shared" si="534"/>
        <v>0</v>
      </c>
      <c r="J746" s="8">
        <f t="shared" si="535"/>
        <v>0</v>
      </c>
      <c r="K746" s="9">
        <f t="shared" si="536"/>
        <v>0</v>
      </c>
    </row>
    <row r="747" spans="1:11" x14ac:dyDescent="0.25">
      <c r="A747" s="5">
        <v>5</v>
      </c>
      <c r="B747" s="6">
        <f t="shared" ref="B747:C747" si="543">B732</f>
        <v>5</v>
      </c>
      <c r="C747" s="6">
        <f t="shared" si="543"/>
        <v>3</v>
      </c>
      <c r="D747" s="8">
        <f>B747*B739+C747*C739+D739</f>
        <v>0.54666666666666131</v>
      </c>
      <c r="E747" s="6">
        <f t="shared" si="538"/>
        <v>1</v>
      </c>
      <c r="F747" s="6">
        <f>$F$12</f>
        <v>1</v>
      </c>
      <c r="G747" s="20" t="str">
        <f t="shared" si="539"/>
        <v>A</v>
      </c>
      <c r="H747" s="20" t="str">
        <f t="shared" si="540"/>
        <v>A</v>
      </c>
      <c r="I747" s="8">
        <f t="shared" si="534"/>
        <v>0</v>
      </c>
      <c r="J747" s="8">
        <f t="shared" si="535"/>
        <v>0</v>
      </c>
      <c r="K747" s="9">
        <f t="shared" si="536"/>
        <v>0</v>
      </c>
    </row>
    <row r="748" spans="1:11" x14ac:dyDescent="0.25">
      <c r="A748" s="5">
        <v>6</v>
      </c>
      <c r="B748" s="6">
        <f t="shared" ref="B748:C748" si="544">B733</f>
        <v>3</v>
      </c>
      <c r="C748" s="6">
        <f t="shared" si="544"/>
        <v>2</v>
      </c>
      <c r="D748" s="8">
        <f>B748*B739+C748*C739+D739</f>
        <v>-1.333333333333675E-2</v>
      </c>
      <c r="E748" s="6">
        <f t="shared" si="538"/>
        <v>-1</v>
      </c>
      <c r="F748" s="6">
        <f>$F$13</f>
        <v>-1</v>
      </c>
      <c r="G748" s="20" t="str">
        <f t="shared" si="539"/>
        <v>B</v>
      </c>
      <c r="H748" s="20" t="str">
        <f t="shared" si="540"/>
        <v>B</v>
      </c>
      <c r="I748" s="8">
        <f t="shared" si="534"/>
        <v>0</v>
      </c>
      <c r="J748" s="8">
        <f t="shared" si="535"/>
        <v>0</v>
      </c>
      <c r="K748" s="9">
        <f t="shared" si="536"/>
        <v>0</v>
      </c>
    </row>
    <row r="749" spans="1:11" x14ac:dyDescent="0.25">
      <c r="A749" s="5"/>
      <c r="B749" s="6"/>
      <c r="C749" s="6"/>
      <c r="D749" s="6"/>
      <c r="E749" s="6"/>
      <c r="F749" s="6"/>
      <c r="G749" s="20" t="s">
        <v>8</v>
      </c>
      <c r="H749" s="20"/>
      <c r="I749" s="8">
        <f>SUM(I743:I748)</f>
        <v>0</v>
      </c>
      <c r="J749" s="8">
        <f>AVERAGE(J743:J748)</f>
        <v>0</v>
      </c>
      <c r="K749" s="9">
        <f>AVERAGE(K743:K748)</f>
        <v>0</v>
      </c>
    </row>
    <row r="750" spans="1:11" x14ac:dyDescent="0.25">
      <c r="A750" s="5"/>
      <c r="B750" s="6"/>
      <c r="C750" s="6"/>
      <c r="D750" s="6"/>
      <c r="E750" s="6"/>
      <c r="F750" s="6"/>
      <c r="G750" s="20" t="s">
        <v>9</v>
      </c>
      <c r="H750" s="20"/>
      <c r="I750" s="8">
        <f>SUMSQ(I743:I748)</f>
        <v>0</v>
      </c>
      <c r="J750" s="10"/>
      <c r="K750" s="15"/>
    </row>
    <row r="751" spans="1:11" x14ac:dyDescent="0.25">
      <c r="A751" s="11"/>
      <c r="B751" s="12"/>
      <c r="C751" s="12"/>
      <c r="D751" s="12"/>
      <c r="E751" s="12"/>
      <c r="F751" s="12"/>
      <c r="G751" s="21"/>
      <c r="H751" s="21"/>
      <c r="I751" s="18"/>
      <c r="J751" s="13"/>
      <c r="K751" s="16"/>
    </row>
    <row r="752" spans="1:11" x14ac:dyDescent="0.25">
      <c r="A752" s="2" t="s">
        <v>13</v>
      </c>
      <c r="B752" s="3">
        <f>B737+1</f>
        <v>51</v>
      </c>
      <c r="C752" s="3"/>
      <c r="D752" s="3"/>
      <c r="E752" s="3"/>
      <c r="F752" s="3"/>
      <c r="G752" s="19"/>
      <c r="H752" s="19"/>
      <c r="I752" s="17"/>
      <c r="J752" s="3"/>
      <c r="K752" s="4"/>
    </row>
    <row r="753" spans="1:11" x14ac:dyDescent="0.25">
      <c r="A753" s="5"/>
      <c r="B753" s="6" t="s">
        <v>4</v>
      </c>
      <c r="C753" s="6" t="s">
        <v>5</v>
      </c>
      <c r="D753" s="6" t="s">
        <v>6</v>
      </c>
      <c r="E753" s="6"/>
      <c r="F753" s="6"/>
      <c r="G753" s="20"/>
      <c r="H753" s="20"/>
      <c r="I753" s="8"/>
      <c r="J753" s="6"/>
      <c r="K753" s="7"/>
    </row>
    <row r="754" spans="1:11" x14ac:dyDescent="0.25">
      <c r="A754" s="5">
        <v>1</v>
      </c>
      <c r="B754" s="14">
        <f>B739+J749</f>
        <v>0.13333333333333286</v>
      </c>
      <c r="C754" s="14">
        <f>C739+K749</f>
        <v>0.29333333333333234</v>
      </c>
      <c r="D754" s="6">
        <f>D739</f>
        <v>-1</v>
      </c>
      <c r="E754" s="6"/>
      <c r="F754" s="6"/>
      <c r="G754" s="20"/>
      <c r="H754" s="20"/>
      <c r="I754" s="8"/>
      <c r="J754" s="6"/>
      <c r="K754" s="7"/>
    </row>
    <row r="755" spans="1:11" x14ac:dyDescent="0.25">
      <c r="A755" s="5"/>
      <c r="B755" s="6"/>
      <c r="C755" s="6"/>
      <c r="D755" s="6"/>
      <c r="E755" s="6"/>
      <c r="F755" s="6"/>
      <c r="G755" s="20"/>
      <c r="H755" s="20"/>
      <c r="I755" s="8"/>
      <c r="J755" s="6"/>
      <c r="K755" s="7"/>
    </row>
    <row r="756" spans="1:11" x14ac:dyDescent="0.25">
      <c r="A756" s="5"/>
      <c r="B756" s="6"/>
      <c r="C756" s="6"/>
      <c r="D756" s="6"/>
      <c r="E756" s="6"/>
      <c r="F756" s="6"/>
      <c r="G756" s="20"/>
      <c r="H756" s="20"/>
      <c r="I756" s="8"/>
      <c r="J756" s="6"/>
      <c r="K756" s="7"/>
    </row>
    <row r="757" spans="1:11" x14ac:dyDescent="0.25">
      <c r="A757" s="5" t="s">
        <v>10</v>
      </c>
      <c r="B757" s="6" t="s">
        <v>2</v>
      </c>
      <c r="C757" s="6" t="s">
        <v>3</v>
      </c>
      <c r="D757" s="6" t="s">
        <v>0</v>
      </c>
      <c r="E757" s="6" t="s">
        <v>15</v>
      </c>
      <c r="F757" s="6" t="s">
        <v>1</v>
      </c>
      <c r="G757" s="20" t="s">
        <v>17</v>
      </c>
      <c r="H757" s="20" t="s">
        <v>16</v>
      </c>
      <c r="I757" s="8" t="s">
        <v>7</v>
      </c>
      <c r="J757" s="6" t="s">
        <v>11</v>
      </c>
      <c r="K757" s="7" t="s">
        <v>12</v>
      </c>
    </row>
    <row r="758" spans="1:11" x14ac:dyDescent="0.25">
      <c r="A758" s="5">
        <v>1</v>
      </c>
      <c r="B758" s="6">
        <f>B743</f>
        <v>4</v>
      </c>
      <c r="C758" s="6">
        <f>C743</f>
        <v>3</v>
      </c>
      <c r="D758" s="8">
        <f>B758*B754+C758*C754+D754</f>
        <v>0.41333333333332845</v>
      </c>
      <c r="E758" s="6">
        <f>IF(D758&gt;=0,$F$1,$E$1)</f>
        <v>1</v>
      </c>
      <c r="F758" s="6">
        <f>$F$8</f>
        <v>1</v>
      </c>
      <c r="G758" s="20" t="str">
        <f>IF(E758&gt;0,"A","B")</f>
        <v>A</v>
      </c>
      <c r="H758" s="20" t="str">
        <f>IF(F758&gt;0,"A","B")</f>
        <v>A</v>
      </c>
      <c r="I758" s="8">
        <f t="shared" ref="I758:I763" si="545">F758-E758</f>
        <v>0</v>
      </c>
      <c r="J758" s="8">
        <f t="shared" ref="J758:J763" si="546">$C$1*I758*B758</f>
        <v>0</v>
      </c>
      <c r="K758" s="9">
        <f t="shared" ref="K758:K763" si="547">$C$1*I758*C758</f>
        <v>0</v>
      </c>
    </row>
    <row r="759" spans="1:11" x14ac:dyDescent="0.25">
      <c r="A759" s="5">
        <v>2</v>
      </c>
      <c r="B759" s="6">
        <f t="shared" ref="B759:C759" si="548">B744</f>
        <v>1</v>
      </c>
      <c r="C759" s="6">
        <f t="shared" si="548"/>
        <v>1</v>
      </c>
      <c r="D759" s="8">
        <f>B759*B754+C759*C754+D754</f>
        <v>-0.5733333333333348</v>
      </c>
      <c r="E759" s="6">
        <f t="shared" ref="E759:E763" si="549">IF(D759&gt;=0,$F$1,$E$1)</f>
        <v>-1</v>
      </c>
      <c r="F759" s="6">
        <f>$F$9</f>
        <v>-1</v>
      </c>
      <c r="G759" s="20" t="str">
        <f t="shared" ref="G759:G763" si="550">IF(E759&gt;0,"A","B")</f>
        <v>B</v>
      </c>
      <c r="H759" s="20" t="str">
        <f t="shared" ref="H759:H763" si="551">IF(F759&gt;0,"A","B")</f>
        <v>B</v>
      </c>
      <c r="I759" s="8">
        <f t="shared" si="545"/>
        <v>0</v>
      </c>
      <c r="J759" s="8">
        <f t="shared" si="546"/>
        <v>0</v>
      </c>
      <c r="K759" s="9">
        <f t="shared" si="547"/>
        <v>0</v>
      </c>
    </row>
    <row r="760" spans="1:11" x14ac:dyDescent="0.25">
      <c r="A760" s="5">
        <v>3</v>
      </c>
      <c r="B760" s="6">
        <f t="shared" ref="B760:C760" si="552">B745</f>
        <v>2</v>
      </c>
      <c r="C760" s="6">
        <f t="shared" si="552"/>
        <v>2</v>
      </c>
      <c r="D760" s="8">
        <f>B760*B754+C760*C754+D754</f>
        <v>-0.14666666666666961</v>
      </c>
      <c r="E760" s="6">
        <f t="shared" si="549"/>
        <v>-1</v>
      </c>
      <c r="F760" s="6">
        <f>$F$10</f>
        <v>-1</v>
      </c>
      <c r="G760" s="20" t="str">
        <f t="shared" si="550"/>
        <v>B</v>
      </c>
      <c r="H760" s="20" t="str">
        <f t="shared" si="551"/>
        <v>B</v>
      </c>
      <c r="I760" s="8">
        <f t="shared" si="545"/>
        <v>0</v>
      </c>
      <c r="J760" s="8">
        <f t="shared" si="546"/>
        <v>0</v>
      </c>
      <c r="K760" s="9">
        <f t="shared" si="547"/>
        <v>0</v>
      </c>
    </row>
    <row r="761" spans="1:11" x14ac:dyDescent="0.25">
      <c r="A761" s="5">
        <v>4</v>
      </c>
      <c r="B761" s="6">
        <f t="shared" ref="B761:C761" si="553">B746</f>
        <v>2</v>
      </c>
      <c r="C761" s="6">
        <f t="shared" si="553"/>
        <v>3</v>
      </c>
      <c r="D761" s="8">
        <f>B761*B754+C761*C754+D754</f>
        <v>0.14666666666666273</v>
      </c>
      <c r="E761" s="6">
        <f t="shared" si="549"/>
        <v>1</v>
      </c>
      <c r="F761" s="6">
        <f>$F$11</f>
        <v>1</v>
      </c>
      <c r="G761" s="20" t="str">
        <f t="shared" si="550"/>
        <v>A</v>
      </c>
      <c r="H761" s="20" t="str">
        <f t="shared" si="551"/>
        <v>A</v>
      </c>
      <c r="I761" s="8">
        <f t="shared" si="545"/>
        <v>0</v>
      </c>
      <c r="J761" s="8">
        <f t="shared" si="546"/>
        <v>0</v>
      </c>
      <c r="K761" s="9">
        <f t="shared" si="547"/>
        <v>0</v>
      </c>
    </row>
    <row r="762" spans="1:11" x14ac:dyDescent="0.25">
      <c r="A762" s="5">
        <v>5</v>
      </c>
      <c r="B762" s="6">
        <f t="shared" ref="B762:C762" si="554">B747</f>
        <v>5</v>
      </c>
      <c r="C762" s="6">
        <f t="shared" si="554"/>
        <v>3</v>
      </c>
      <c r="D762" s="8">
        <f>B762*B754+C762*C754+D754</f>
        <v>0.54666666666666131</v>
      </c>
      <c r="E762" s="6">
        <f t="shared" si="549"/>
        <v>1</v>
      </c>
      <c r="F762" s="6">
        <f>$F$12</f>
        <v>1</v>
      </c>
      <c r="G762" s="20" t="str">
        <f t="shared" si="550"/>
        <v>A</v>
      </c>
      <c r="H762" s="20" t="str">
        <f t="shared" si="551"/>
        <v>A</v>
      </c>
      <c r="I762" s="8">
        <f t="shared" si="545"/>
        <v>0</v>
      </c>
      <c r="J762" s="8">
        <f t="shared" si="546"/>
        <v>0</v>
      </c>
      <c r="K762" s="9">
        <f t="shared" si="547"/>
        <v>0</v>
      </c>
    </row>
    <row r="763" spans="1:11" x14ac:dyDescent="0.25">
      <c r="A763" s="5">
        <v>6</v>
      </c>
      <c r="B763" s="6">
        <f t="shared" ref="B763:C763" si="555">B748</f>
        <v>3</v>
      </c>
      <c r="C763" s="6">
        <f t="shared" si="555"/>
        <v>2</v>
      </c>
      <c r="D763" s="8">
        <f>B763*B754+C763*C754+D754</f>
        <v>-1.333333333333675E-2</v>
      </c>
      <c r="E763" s="6">
        <f t="shared" si="549"/>
        <v>-1</v>
      </c>
      <c r="F763" s="6">
        <f>$F$13</f>
        <v>-1</v>
      </c>
      <c r="G763" s="20" t="str">
        <f t="shared" si="550"/>
        <v>B</v>
      </c>
      <c r="H763" s="20" t="str">
        <f t="shared" si="551"/>
        <v>B</v>
      </c>
      <c r="I763" s="8">
        <f t="shared" si="545"/>
        <v>0</v>
      </c>
      <c r="J763" s="8">
        <f t="shared" si="546"/>
        <v>0</v>
      </c>
      <c r="K763" s="9">
        <f t="shared" si="547"/>
        <v>0</v>
      </c>
    </row>
    <row r="764" spans="1:11" x14ac:dyDescent="0.25">
      <c r="A764" s="5"/>
      <c r="B764" s="6"/>
      <c r="C764" s="6"/>
      <c r="D764" s="6"/>
      <c r="E764" s="6"/>
      <c r="F764" s="6"/>
      <c r="G764" s="20" t="s">
        <v>8</v>
      </c>
      <c r="H764" s="20"/>
      <c r="I764" s="8">
        <f>SUM(I758:I763)</f>
        <v>0</v>
      </c>
      <c r="J764" s="8">
        <f>AVERAGE(J758:J763)</f>
        <v>0</v>
      </c>
      <c r="K764" s="9">
        <f>AVERAGE(K758:K763)</f>
        <v>0</v>
      </c>
    </row>
    <row r="765" spans="1:11" x14ac:dyDescent="0.25">
      <c r="A765" s="5"/>
      <c r="B765" s="6"/>
      <c r="C765" s="6"/>
      <c r="D765" s="6"/>
      <c r="E765" s="6"/>
      <c r="F765" s="6"/>
      <c r="G765" s="20" t="s">
        <v>9</v>
      </c>
      <c r="H765" s="20"/>
      <c r="I765" s="8">
        <f>SUMSQ(I758:I763)</f>
        <v>0</v>
      </c>
      <c r="J765" s="10"/>
      <c r="K765" s="15"/>
    </row>
    <row r="766" spans="1:11" x14ac:dyDescent="0.25">
      <c r="A766" s="11"/>
      <c r="B766" s="12"/>
      <c r="C766" s="12"/>
      <c r="D766" s="12"/>
      <c r="E766" s="12"/>
      <c r="F766" s="12"/>
      <c r="G766" s="21"/>
      <c r="H766" s="21"/>
      <c r="I766" s="18"/>
      <c r="J766" s="13"/>
      <c r="K766" s="16"/>
    </row>
    <row r="767" spans="1:11" x14ac:dyDescent="0.25">
      <c r="A767" s="2" t="s">
        <v>13</v>
      </c>
      <c r="B767" s="3">
        <f>B752+1</f>
        <v>52</v>
      </c>
      <c r="C767" s="3"/>
      <c r="D767" s="3"/>
      <c r="E767" s="3"/>
      <c r="F767" s="3"/>
      <c r="G767" s="19"/>
      <c r="H767" s="19"/>
      <c r="I767" s="17"/>
      <c r="J767" s="3"/>
      <c r="K767" s="4"/>
    </row>
    <row r="768" spans="1:11" x14ac:dyDescent="0.25">
      <c r="A768" s="5"/>
      <c r="B768" s="6" t="s">
        <v>4</v>
      </c>
      <c r="C768" s="6" t="s">
        <v>5</v>
      </c>
      <c r="D768" s="6" t="s">
        <v>6</v>
      </c>
      <c r="E768" s="6"/>
      <c r="F768" s="6"/>
      <c r="G768" s="20"/>
      <c r="H768" s="20"/>
      <c r="I768" s="8"/>
      <c r="J768" s="6"/>
      <c r="K768" s="7"/>
    </row>
    <row r="769" spans="1:11" x14ac:dyDescent="0.25">
      <c r="A769" s="5">
        <v>1</v>
      </c>
      <c r="B769" s="14">
        <f>B754+J764</f>
        <v>0.13333333333333286</v>
      </c>
      <c r="C769" s="14">
        <f>C754+K764</f>
        <v>0.29333333333333234</v>
      </c>
      <c r="D769" s="6">
        <f>D754</f>
        <v>-1</v>
      </c>
      <c r="E769" s="6"/>
      <c r="F769" s="6"/>
      <c r="G769" s="20"/>
      <c r="H769" s="20"/>
      <c r="I769" s="8"/>
      <c r="J769" s="6"/>
      <c r="K769" s="7"/>
    </row>
    <row r="770" spans="1:11" x14ac:dyDescent="0.25">
      <c r="A770" s="5"/>
      <c r="B770" s="6"/>
      <c r="C770" s="6"/>
      <c r="D770" s="6"/>
      <c r="E770" s="6"/>
      <c r="F770" s="6"/>
      <c r="G770" s="20"/>
      <c r="H770" s="20"/>
      <c r="I770" s="8"/>
      <c r="J770" s="6"/>
      <c r="K770" s="7"/>
    </row>
    <row r="771" spans="1:11" x14ac:dyDescent="0.25">
      <c r="A771" s="5"/>
      <c r="B771" s="6"/>
      <c r="C771" s="6"/>
      <c r="D771" s="6"/>
      <c r="E771" s="6"/>
      <c r="F771" s="6"/>
      <c r="G771" s="20"/>
      <c r="H771" s="20"/>
      <c r="I771" s="8"/>
      <c r="J771" s="6"/>
      <c r="K771" s="7"/>
    </row>
    <row r="772" spans="1:11" x14ac:dyDescent="0.25">
      <c r="A772" s="5" t="s">
        <v>10</v>
      </c>
      <c r="B772" s="6" t="s">
        <v>2</v>
      </c>
      <c r="C772" s="6" t="s">
        <v>3</v>
      </c>
      <c r="D772" s="6" t="s">
        <v>0</v>
      </c>
      <c r="E772" s="6" t="s">
        <v>15</v>
      </c>
      <c r="F772" s="6" t="s">
        <v>1</v>
      </c>
      <c r="G772" s="20" t="s">
        <v>17</v>
      </c>
      <c r="H772" s="20" t="s">
        <v>16</v>
      </c>
      <c r="I772" s="8" t="s">
        <v>7</v>
      </c>
      <c r="J772" s="6" t="s">
        <v>11</v>
      </c>
      <c r="K772" s="7" t="s">
        <v>12</v>
      </c>
    </row>
    <row r="773" spans="1:11" x14ac:dyDescent="0.25">
      <c r="A773" s="5">
        <v>1</v>
      </c>
      <c r="B773" s="6">
        <f>B758</f>
        <v>4</v>
      </c>
      <c r="C773" s="6">
        <f>C758</f>
        <v>3</v>
      </c>
      <c r="D773" s="8">
        <f>B773*B769+C773*C769+D769</f>
        <v>0.41333333333332845</v>
      </c>
      <c r="E773" s="6">
        <f>IF(D773&gt;=0,$F$1,$E$1)</f>
        <v>1</v>
      </c>
      <c r="F773" s="6">
        <f>$F$8</f>
        <v>1</v>
      </c>
      <c r="G773" s="20" t="str">
        <f>IF(E773&gt;0,"A","B")</f>
        <v>A</v>
      </c>
      <c r="H773" s="20" t="str">
        <f>IF(F773&gt;0,"A","B")</f>
        <v>A</v>
      </c>
      <c r="I773" s="8">
        <f t="shared" ref="I773:I778" si="556">F773-E773</f>
        <v>0</v>
      </c>
      <c r="J773" s="8">
        <f t="shared" ref="J773:J778" si="557">$C$1*I773*B773</f>
        <v>0</v>
      </c>
      <c r="K773" s="9">
        <f t="shared" ref="K773:K778" si="558">$C$1*I773*C773</f>
        <v>0</v>
      </c>
    </row>
    <row r="774" spans="1:11" x14ac:dyDescent="0.25">
      <c r="A774" s="5">
        <v>2</v>
      </c>
      <c r="B774" s="6">
        <f t="shared" ref="B774:C774" si="559">B759</f>
        <v>1</v>
      </c>
      <c r="C774" s="6">
        <f t="shared" si="559"/>
        <v>1</v>
      </c>
      <c r="D774" s="8">
        <f>B774*B769+C774*C769+D769</f>
        <v>-0.5733333333333348</v>
      </c>
      <c r="E774" s="6">
        <f t="shared" ref="E774:E778" si="560">IF(D774&gt;=0,$F$1,$E$1)</f>
        <v>-1</v>
      </c>
      <c r="F774" s="6">
        <f>$F$9</f>
        <v>-1</v>
      </c>
      <c r="G774" s="20" t="str">
        <f t="shared" ref="G774:G778" si="561">IF(E774&gt;0,"A","B")</f>
        <v>B</v>
      </c>
      <c r="H774" s="20" t="str">
        <f t="shared" ref="H774:H778" si="562">IF(F774&gt;0,"A","B")</f>
        <v>B</v>
      </c>
      <c r="I774" s="8">
        <f t="shared" si="556"/>
        <v>0</v>
      </c>
      <c r="J774" s="8">
        <f t="shared" si="557"/>
        <v>0</v>
      </c>
      <c r="K774" s="9">
        <f t="shared" si="558"/>
        <v>0</v>
      </c>
    </row>
    <row r="775" spans="1:11" x14ac:dyDescent="0.25">
      <c r="A775" s="5">
        <v>3</v>
      </c>
      <c r="B775" s="6">
        <f t="shared" ref="B775:C775" si="563">B760</f>
        <v>2</v>
      </c>
      <c r="C775" s="6">
        <f t="shared" si="563"/>
        <v>2</v>
      </c>
      <c r="D775" s="8">
        <f>B775*B769+C775*C769+D769</f>
        <v>-0.14666666666666961</v>
      </c>
      <c r="E775" s="6">
        <f t="shared" si="560"/>
        <v>-1</v>
      </c>
      <c r="F775" s="6">
        <f>$F$10</f>
        <v>-1</v>
      </c>
      <c r="G775" s="20" t="str">
        <f t="shared" si="561"/>
        <v>B</v>
      </c>
      <c r="H775" s="20" t="str">
        <f t="shared" si="562"/>
        <v>B</v>
      </c>
      <c r="I775" s="8">
        <f t="shared" si="556"/>
        <v>0</v>
      </c>
      <c r="J775" s="8">
        <f t="shared" si="557"/>
        <v>0</v>
      </c>
      <c r="K775" s="9">
        <f t="shared" si="558"/>
        <v>0</v>
      </c>
    </row>
    <row r="776" spans="1:11" x14ac:dyDescent="0.25">
      <c r="A776" s="5">
        <v>4</v>
      </c>
      <c r="B776" s="6">
        <f t="shared" ref="B776:C776" si="564">B761</f>
        <v>2</v>
      </c>
      <c r="C776" s="6">
        <f t="shared" si="564"/>
        <v>3</v>
      </c>
      <c r="D776" s="8">
        <f>B776*B769+C776*C769+D769</f>
        <v>0.14666666666666273</v>
      </c>
      <c r="E776" s="6">
        <f t="shared" si="560"/>
        <v>1</v>
      </c>
      <c r="F776" s="6">
        <f>$F$11</f>
        <v>1</v>
      </c>
      <c r="G776" s="20" t="str">
        <f t="shared" si="561"/>
        <v>A</v>
      </c>
      <c r="H776" s="20" t="str">
        <f t="shared" si="562"/>
        <v>A</v>
      </c>
      <c r="I776" s="8">
        <f t="shared" si="556"/>
        <v>0</v>
      </c>
      <c r="J776" s="8">
        <f t="shared" si="557"/>
        <v>0</v>
      </c>
      <c r="K776" s="9">
        <f t="shared" si="558"/>
        <v>0</v>
      </c>
    </row>
    <row r="777" spans="1:11" x14ac:dyDescent="0.25">
      <c r="A777" s="5">
        <v>5</v>
      </c>
      <c r="B777" s="6">
        <f t="shared" ref="B777:C777" si="565">B762</f>
        <v>5</v>
      </c>
      <c r="C777" s="6">
        <f t="shared" si="565"/>
        <v>3</v>
      </c>
      <c r="D777" s="8">
        <f>B777*B769+C777*C769+D769</f>
        <v>0.54666666666666131</v>
      </c>
      <c r="E777" s="6">
        <f t="shared" si="560"/>
        <v>1</v>
      </c>
      <c r="F777" s="6">
        <f>$F$12</f>
        <v>1</v>
      </c>
      <c r="G777" s="20" t="str">
        <f t="shared" si="561"/>
        <v>A</v>
      </c>
      <c r="H777" s="20" t="str">
        <f t="shared" si="562"/>
        <v>A</v>
      </c>
      <c r="I777" s="8">
        <f t="shared" si="556"/>
        <v>0</v>
      </c>
      <c r="J777" s="8">
        <f t="shared" si="557"/>
        <v>0</v>
      </c>
      <c r="K777" s="9">
        <f t="shared" si="558"/>
        <v>0</v>
      </c>
    </row>
    <row r="778" spans="1:11" x14ac:dyDescent="0.25">
      <c r="A778" s="5">
        <v>6</v>
      </c>
      <c r="B778" s="6">
        <f t="shared" ref="B778:C778" si="566">B763</f>
        <v>3</v>
      </c>
      <c r="C778" s="6">
        <f t="shared" si="566"/>
        <v>2</v>
      </c>
      <c r="D778" s="8">
        <f>B778*B769+C778*C769+D769</f>
        <v>-1.333333333333675E-2</v>
      </c>
      <c r="E778" s="6">
        <f t="shared" si="560"/>
        <v>-1</v>
      </c>
      <c r="F778" s="6">
        <f>$F$13</f>
        <v>-1</v>
      </c>
      <c r="G778" s="20" t="str">
        <f t="shared" si="561"/>
        <v>B</v>
      </c>
      <c r="H778" s="20" t="str">
        <f t="shared" si="562"/>
        <v>B</v>
      </c>
      <c r="I778" s="8">
        <f t="shared" si="556"/>
        <v>0</v>
      </c>
      <c r="J778" s="8">
        <f t="shared" si="557"/>
        <v>0</v>
      </c>
      <c r="K778" s="9">
        <f t="shared" si="558"/>
        <v>0</v>
      </c>
    </row>
    <row r="779" spans="1:11" x14ac:dyDescent="0.25">
      <c r="A779" s="5"/>
      <c r="B779" s="6"/>
      <c r="C779" s="6"/>
      <c r="D779" s="6"/>
      <c r="E779" s="6"/>
      <c r="F779" s="6"/>
      <c r="G779" s="20" t="s">
        <v>8</v>
      </c>
      <c r="H779" s="20"/>
      <c r="I779" s="8">
        <f>SUM(I773:I778)</f>
        <v>0</v>
      </c>
      <c r="J779" s="8">
        <f>AVERAGE(J773:J778)</f>
        <v>0</v>
      </c>
      <c r="K779" s="9">
        <f>AVERAGE(K773:K778)</f>
        <v>0</v>
      </c>
    </row>
    <row r="780" spans="1:11" x14ac:dyDescent="0.25">
      <c r="A780" s="5"/>
      <c r="B780" s="6"/>
      <c r="C780" s="6"/>
      <c r="D780" s="6"/>
      <c r="E780" s="6"/>
      <c r="F780" s="6"/>
      <c r="G780" s="20" t="s">
        <v>9</v>
      </c>
      <c r="H780" s="20"/>
      <c r="I780" s="8">
        <f>SUMSQ(I773:I778)</f>
        <v>0</v>
      </c>
      <c r="J780" s="10"/>
      <c r="K780" s="15"/>
    </row>
    <row r="781" spans="1:11" x14ac:dyDescent="0.25">
      <c r="A781" s="11"/>
      <c r="B781" s="12"/>
      <c r="C781" s="12"/>
      <c r="D781" s="12"/>
      <c r="E781" s="12"/>
      <c r="F781" s="12"/>
      <c r="G781" s="21"/>
      <c r="H781" s="21"/>
      <c r="I781" s="18"/>
      <c r="J781" s="13"/>
      <c r="K781" s="16"/>
    </row>
    <row r="782" spans="1:11" x14ac:dyDescent="0.25">
      <c r="A782" s="2" t="s">
        <v>13</v>
      </c>
      <c r="B782" s="3">
        <f>B767+1</f>
        <v>53</v>
      </c>
      <c r="C782" s="3"/>
      <c r="D782" s="3"/>
      <c r="E782" s="3"/>
      <c r="F782" s="3"/>
      <c r="G782" s="19"/>
      <c r="H782" s="19"/>
      <c r="I782" s="17"/>
      <c r="J782" s="3"/>
      <c r="K782" s="4"/>
    </row>
    <row r="783" spans="1:11" x14ac:dyDescent="0.25">
      <c r="A783" s="5"/>
      <c r="B783" s="6" t="s">
        <v>4</v>
      </c>
      <c r="C783" s="6" t="s">
        <v>5</v>
      </c>
      <c r="D783" s="6" t="s">
        <v>6</v>
      </c>
      <c r="E783" s="6"/>
      <c r="F783" s="6"/>
      <c r="G783" s="20"/>
      <c r="H783" s="20"/>
      <c r="I783" s="8"/>
      <c r="J783" s="6"/>
      <c r="K783" s="7"/>
    </row>
    <row r="784" spans="1:11" x14ac:dyDescent="0.25">
      <c r="A784" s="5">
        <v>1</v>
      </c>
      <c r="B784" s="14">
        <f>B769+J779</f>
        <v>0.13333333333333286</v>
      </c>
      <c r="C784" s="14">
        <f>C769+K779</f>
        <v>0.29333333333333234</v>
      </c>
      <c r="D784" s="6">
        <f>D769</f>
        <v>-1</v>
      </c>
      <c r="E784" s="6"/>
      <c r="F784" s="6"/>
      <c r="G784" s="20"/>
      <c r="H784" s="20"/>
      <c r="I784" s="8"/>
      <c r="J784" s="6"/>
      <c r="K784" s="7"/>
    </row>
    <row r="785" spans="1:11" x14ac:dyDescent="0.25">
      <c r="A785" s="5"/>
      <c r="B785" s="6"/>
      <c r="C785" s="6"/>
      <c r="D785" s="6"/>
      <c r="E785" s="6"/>
      <c r="F785" s="6"/>
      <c r="G785" s="20"/>
      <c r="H785" s="20"/>
      <c r="I785" s="8"/>
      <c r="J785" s="6"/>
      <c r="K785" s="7"/>
    </row>
    <row r="786" spans="1:11" x14ac:dyDescent="0.25">
      <c r="A786" s="5"/>
      <c r="B786" s="6"/>
      <c r="C786" s="6"/>
      <c r="D786" s="6"/>
      <c r="E786" s="6"/>
      <c r="F786" s="6"/>
      <c r="G786" s="20"/>
      <c r="H786" s="20"/>
      <c r="I786" s="8"/>
      <c r="J786" s="6"/>
      <c r="K786" s="7"/>
    </row>
    <row r="787" spans="1:11" x14ac:dyDescent="0.25">
      <c r="A787" s="5" t="s">
        <v>10</v>
      </c>
      <c r="B787" s="6" t="s">
        <v>2</v>
      </c>
      <c r="C787" s="6" t="s">
        <v>3</v>
      </c>
      <c r="D787" s="6" t="s">
        <v>0</v>
      </c>
      <c r="E787" s="6" t="s">
        <v>15</v>
      </c>
      <c r="F787" s="6" t="s">
        <v>1</v>
      </c>
      <c r="G787" s="20" t="s">
        <v>17</v>
      </c>
      <c r="H787" s="20" t="s">
        <v>16</v>
      </c>
      <c r="I787" s="8" t="s">
        <v>7</v>
      </c>
      <c r="J787" s="6" t="s">
        <v>11</v>
      </c>
      <c r="K787" s="7" t="s">
        <v>12</v>
      </c>
    </row>
    <row r="788" spans="1:11" x14ac:dyDescent="0.25">
      <c r="A788" s="5">
        <v>1</v>
      </c>
      <c r="B788" s="6">
        <f>B773</f>
        <v>4</v>
      </c>
      <c r="C788" s="6">
        <f>C773</f>
        <v>3</v>
      </c>
      <c r="D788" s="8">
        <f>B788*B784+C788*C784+D784</f>
        <v>0.41333333333332845</v>
      </c>
      <c r="E788" s="6">
        <f>IF(D788&gt;=0,$F$1,$E$1)</f>
        <v>1</v>
      </c>
      <c r="F788" s="6">
        <f>$F$8</f>
        <v>1</v>
      </c>
      <c r="G788" s="20" t="str">
        <f>IF(E788&gt;0,"A","B")</f>
        <v>A</v>
      </c>
      <c r="H788" s="20" t="str">
        <f>IF(F788&gt;0,"A","B")</f>
        <v>A</v>
      </c>
      <c r="I788" s="8">
        <f t="shared" ref="I788:I793" si="567">F788-E788</f>
        <v>0</v>
      </c>
      <c r="J788" s="8">
        <f t="shared" ref="J788:J793" si="568">$C$1*I788*B788</f>
        <v>0</v>
      </c>
      <c r="K788" s="9">
        <f t="shared" ref="K788:K793" si="569">$C$1*I788*C788</f>
        <v>0</v>
      </c>
    </row>
    <row r="789" spans="1:11" x14ac:dyDescent="0.25">
      <c r="A789" s="5">
        <v>2</v>
      </c>
      <c r="B789" s="6">
        <f t="shared" ref="B789:C789" si="570">B774</f>
        <v>1</v>
      </c>
      <c r="C789" s="6">
        <f t="shared" si="570"/>
        <v>1</v>
      </c>
      <c r="D789" s="8">
        <f>B789*B784+C789*C784+D784</f>
        <v>-0.5733333333333348</v>
      </c>
      <c r="E789" s="6">
        <f t="shared" ref="E789:E793" si="571">IF(D789&gt;=0,$F$1,$E$1)</f>
        <v>-1</v>
      </c>
      <c r="F789" s="6">
        <f>$F$9</f>
        <v>-1</v>
      </c>
      <c r="G789" s="20" t="str">
        <f t="shared" ref="G789:G793" si="572">IF(E789&gt;0,"A","B")</f>
        <v>B</v>
      </c>
      <c r="H789" s="20" t="str">
        <f t="shared" ref="H789:H793" si="573">IF(F789&gt;0,"A","B")</f>
        <v>B</v>
      </c>
      <c r="I789" s="8">
        <f t="shared" si="567"/>
        <v>0</v>
      </c>
      <c r="J789" s="8">
        <f t="shared" si="568"/>
        <v>0</v>
      </c>
      <c r="K789" s="9">
        <f t="shared" si="569"/>
        <v>0</v>
      </c>
    </row>
    <row r="790" spans="1:11" x14ac:dyDescent="0.25">
      <c r="A790" s="5">
        <v>3</v>
      </c>
      <c r="B790" s="6">
        <f t="shared" ref="B790:C790" si="574">B775</f>
        <v>2</v>
      </c>
      <c r="C790" s="6">
        <f t="shared" si="574"/>
        <v>2</v>
      </c>
      <c r="D790" s="8">
        <f>B790*B784+C790*C784+D784</f>
        <v>-0.14666666666666961</v>
      </c>
      <c r="E790" s="6">
        <f t="shared" si="571"/>
        <v>-1</v>
      </c>
      <c r="F790" s="6">
        <f>$F$10</f>
        <v>-1</v>
      </c>
      <c r="G790" s="20" t="str">
        <f t="shared" si="572"/>
        <v>B</v>
      </c>
      <c r="H790" s="20" t="str">
        <f t="shared" si="573"/>
        <v>B</v>
      </c>
      <c r="I790" s="8">
        <f t="shared" si="567"/>
        <v>0</v>
      </c>
      <c r="J790" s="8">
        <f t="shared" si="568"/>
        <v>0</v>
      </c>
      <c r="K790" s="9">
        <f t="shared" si="569"/>
        <v>0</v>
      </c>
    </row>
    <row r="791" spans="1:11" x14ac:dyDescent="0.25">
      <c r="A791" s="5">
        <v>4</v>
      </c>
      <c r="B791" s="6">
        <f t="shared" ref="B791:C791" si="575">B776</f>
        <v>2</v>
      </c>
      <c r="C791" s="6">
        <f t="shared" si="575"/>
        <v>3</v>
      </c>
      <c r="D791" s="8">
        <f>B791*B784+C791*C784+D784</f>
        <v>0.14666666666666273</v>
      </c>
      <c r="E791" s="6">
        <f t="shared" si="571"/>
        <v>1</v>
      </c>
      <c r="F791" s="6">
        <f>$F$11</f>
        <v>1</v>
      </c>
      <c r="G791" s="20" t="str">
        <f t="shared" si="572"/>
        <v>A</v>
      </c>
      <c r="H791" s="20" t="str">
        <f t="shared" si="573"/>
        <v>A</v>
      </c>
      <c r="I791" s="8">
        <f t="shared" si="567"/>
        <v>0</v>
      </c>
      <c r="J791" s="8">
        <f t="shared" si="568"/>
        <v>0</v>
      </c>
      <c r="K791" s="9">
        <f t="shared" si="569"/>
        <v>0</v>
      </c>
    </row>
    <row r="792" spans="1:11" x14ac:dyDescent="0.25">
      <c r="A792" s="5">
        <v>5</v>
      </c>
      <c r="B792" s="6">
        <f t="shared" ref="B792:C792" si="576">B777</f>
        <v>5</v>
      </c>
      <c r="C792" s="6">
        <f t="shared" si="576"/>
        <v>3</v>
      </c>
      <c r="D792" s="8">
        <f>B792*B784+C792*C784+D784</f>
        <v>0.54666666666666131</v>
      </c>
      <c r="E792" s="6">
        <f t="shared" si="571"/>
        <v>1</v>
      </c>
      <c r="F792" s="6">
        <f>$F$12</f>
        <v>1</v>
      </c>
      <c r="G792" s="20" t="str">
        <f t="shared" si="572"/>
        <v>A</v>
      </c>
      <c r="H792" s="20" t="str">
        <f t="shared" si="573"/>
        <v>A</v>
      </c>
      <c r="I792" s="8">
        <f t="shared" si="567"/>
        <v>0</v>
      </c>
      <c r="J792" s="8">
        <f t="shared" si="568"/>
        <v>0</v>
      </c>
      <c r="K792" s="9">
        <f t="shared" si="569"/>
        <v>0</v>
      </c>
    </row>
    <row r="793" spans="1:11" x14ac:dyDescent="0.25">
      <c r="A793" s="5">
        <v>6</v>
      </c>
      <c r="B793" s="6">
        <f t="shared" ref="B793:C793" si="577">B778</f>
        <v>3</v>
      </c>
      <c r="C793" s="6">
        <f t="shared" si="577"/>
        <v>2</v>
      </c>
      <c r="D793" s="8">
        <f>B793*B784+C793*C784+D784</f>
        <v>-1.333333333333675E-2</v>
      </c>
      <c r="E793" s="6">
        <f t="shared" si="571"/>
        <v>-1</v>
      </c>
      <c r="F793" s="6">
        <f>$F$13</f>
        <v>-1</v>
      </c>
      <c r="G793" s="20" t="str">
        <f t="shared" si="572"/>
        <v>B</v>
      </c>
      <c r="H793" s="20" t="str">
        <f t="shared" si="573"/>
        <v>B</v>
      </c>
      <c r="I793" s="8">
        <f t="shared" si="567"/>
        <v>0</v>
      </c>
      <c r="J793" s="8">
        <f t="shared" si="568"/>
        <v>0</v>
      </c>
      <c r="K793" s="9">
        <f t="shared" si="569"/>
        <v>0</v>
      </c>
    </row>
    <row r="794" spans="1:11" x14ac:dyDescent="0.25">
      <c r="A794" s="5"/>
      <c r="B794" s="6"/>
      <c r="C794" s="6"/>
      <c r="D794" s="6"/>
      <c r="E794" s="6"/>
      <c r="F794" s="6"/>
      <c r="G794" s="20" t="s">
        <v>8</v>
      </c>
      <c r="H794" s="20"/>
      <c r="I794" s="8">
        <f>SUM(I788:I793)</f>
        <v>0</v>
      </c>
      <c r="J794" s="8">
        <f>AVERAGE(J788:J793)</f>
        <v>0</v>
      </c>
      <c r="K794" s="9">
        <f>AVERAGE(K788:K793)</f>
        <v>0</v>
      </c>
    </row>
    <row r="795" spans="1:11" x14ac:dyDescent="0.25">
      <c r="A795" s="5"/>
      <c r="B795" s="6"/>
      <c r="C795" s="6"/>
      <c r="D795" s="6"/>
      <c r="E795" s="6"/>
      <c r="F795" s="6"/>
      <c r="G795" s="20" t="s">
        <v>9</v>
      </c>
      <c r="H795" s="20"/>
      <c r="I795" s="8">
        <f>SUMSQ(I788:I793)</f>
        <v>0</v>
      </c>
      <c r="J795" s="10"/>
      <c r="K795" s="15"/>
    </row>
    <row r="796" spans="1:11" x14ac:dyDescent="0.25">
      <c r="A796" s="11"/>
      <c r="B796" s="12"/>
      <c r="C796" s="12"/>
      <c r="D796" s="12"/>
      <c r="E796" s="12"/>
      <c r="F796" s="12"/>
      <c r="G796" s="21"/>
      <c r="H796" s="21"/>
      <c r="I796" s="18"/>
      <c r="J796" s="13"/>
      <c r="K796" s="16"/>
    </row>
    <row r="797" spans="1:11" x14ac:dyDescent="0.25">
      <c r="A797" s="2" t="s">
        <v>13</v>
      </c>
      <c r="B797" s="3">
        <f>B782+1</f>
        <v>54</v>
      </c>
      <c r="C797" s="3"/>
      <c r="D797" s="3"/>
      <c r="E797" s="3"/>
      <c r="F797" s="3"/>
      <c r="G797" s="19"/>
      <c r="H797" s="19"/>
      <c r="I797" s="17"/>
      <c r="J797" s="3"/>
      <c r="K797" s="4"/>
    </row>
    <row r="798" spans="1:11" x14ac:dyDescent="0.25">
      <c r="A798" s="5"/>
      <c r="B798" s="6" t="s">
        <v>4</v>
      </c>
      <c r="C798" s="6" t="s">
        <v>5</v>
      </c>
      <c r="D798" s="6" t="s">
        <v>6</v>
      </c>
      <c r="E798" s="6"/>
      <c r="F798" s="6"/>
      <c r="G798" s="20"/>
      <c r="H798" s="20"/>
      <c r="I798" s="8"/>
      <c r="J798" s="6"/>
      <c r="K798" s="7"/>
    </row>
    <row r="799" spans="1:11" x14ac:dyDescent="0.25">
      <c r="A799" s="5">
        <v>1</v>
      </c>
      <c r="B799" s="14">
        <f>B784+J794</f>
        <v>0.13333333333333286</v>
      </c>
      <c r="C799" s="14">
        <f>C784+K794</f>
        <v>0.29333333333333234</v>
      </c>
      <c r="D799" s="6">
        <f>D784</f>
        <v>-1</v>
      </c>
      <c r="E799" s="6"/>
      <c r="F799" s="6"/>
      <c r="G799" s="20"/>
      <c r="H799" s="20"/>
      <c r="I799" s="8"/>
      <c r="J799" s="6"/>
      <c r="K799" s="7"/>
    </row>
    <row r="800" spans="1:11" x14ac:dyDescent="0.25">
      <c r="A800" s="5"/>
      <c r="B800" s="6"/>
      <c r="C800" s="6"/>
      <c r="D800" s="6"/>
      <c r="E800" s="6"/>
      <c r="F800" s="6"/>
      <c r="G800" s="20"/>
      <c r="H800" s="20"/>
      <c r="I800" s="8"/>
      <c r="J800" s="6"/>
      <c r="K800" s="7"/>
    </row>
    <row r="801" spans="1:11" x14ac:dyDescent="0.25">
      <c r="A801" s="5"/>
      <c r="B801" s="6"/>
      <c r="C801" s="6"/>
      <c r="D801" s="6"/>
      <c r="E801" s="6"/>
      <c r="F801" s="6"/>
      <c r="G801" s="20"/>
      <c r="H801" s="20"/>
      <c r="I801" s="8"/>
      <c r="J801" s="6"/>
      <c r="K801" s="7"/>
    </row>
    <row r="802" spans="1:11" x14ac:dyDescent="0.25">
      <c r="A802" s="5" t="s">
        <v>10</v>
      </c>
      <c r="B802" s="6" t="s">
        <v>2</v>
      </c>
      <c r="C802" s="6" t="s">
        <v>3</v>
      </c>
      <c r="D802" s="6" t="s">
        <v>0</v>
      </c>
      <c r="E802" s="6" t="s">
        <v>15</v>
      </c>
      <c r="F802" s="6" t="s">
        <v>1</v>
      </c>
      <c r="G802" s="20" t="s">
        <v>17</v>
      </c>
      <c r="H802" s="20" t="s">
        <v>16</v>
      </c>
      <c r="I802" s="8" t="s">
        <v>7</v>
      </c>
      <c r="J802" s="6" t="s">
        <v>11</v>
      </c>
      <c r="K802" s="7" t="s">
        <v>12</v>
      </c>
    </row>
    <row r="803" spans="1:11" x14ac:dyDescent="0.25">
      <c r="A803" s="5">
        <v>1</v>
      </c>
      <c r="B803" s="6">
        <f>B788</f>
        <v>4</v>
      </c>
      <c r="C803" s="6">
        <f>C788</f>
        <v>3</v>
      </c>
      <c r="D803" s="8">
        <f>B803*B799+C803*C799+D799</f>
        <v>0.41333333333332845</v>
      </c>
      <c r="E803" s="6">
        <f>IF(D803&gt;=0,$F$1,$E$1)</f>
        <v>1</v>
      </c>
      <c r="F803" s="6">
        <f>$F$8</f>
        <v>1</v>
      </c>
      <c r="G803" s="20" t="str">
        <f>IF(E803&gt;0,"A","B")</f>
        <v>A</v>
      </c>
      <c r="H803" s="20" t="str">
        <f>IF(F803&gt;0,"A","B")</f>
        <v>A</v>
      </c>
      <c r="I803" s="8">
        <f t="shared" ref="I803:I808" si="578">F803-E803</f>
        <v>0</v>
      </c>
      <c r="J803" s="8">
        <f t="shared" ref="J803:J808" si="579">$C$1*I803*B803</f>
        <v>0</v>
      </c>
      <c r="K803" s="9">
        <f t="shared" ref="K803:K808" si="580">$C$1*I803*C803</f>
        <v>0</v>
      </c>
    </row>
    <row r="804" spans="1:11" x14ac:dyDescent="0.25">
      <c r="A804" s="5">
        <v>2</v>
      </c>
      <c r="B804" s="6">
        <f t="shared" ref="B804:C804" si="581">B789</f>
        <v>1</v>
      </c>
      <c r="C804" s="6">
        <f t="shared" si="581"/>
        <v>1</v>
      </c>
      <c r="D804" s="8">
        <f>B804*B799+C804*C799+D799</f>
        <v>-0.5733333333333348</v>
      </c>
      <c r="E804" s="6">
        <f t="shared" ref="E804:E808" si="582">IF(D804&gt;=0,$F$1,$E$1)</f>
        <v>-1</v>
      </c>
      <c r="F804" s="6">
        <f>$F$9</f>
        <v>-1</v>
      </c>
      <c r="G804" s="20" t="str">
        <f t="shared" ref="G804:G808" si="583">IF(E804&gt;0,"A","B")</f>
        <v>B</v>
      </c>
      <c r="H804" s="20" t="str">
        <f t="shared" ref="H804:H808" si="584">IF(F804&gt;0,"A","B")</f>
        <v>B</v>
      </c>
      <c r="I804" s="8">
        <f t="shared" si="578"/>
        <v>0</v>
      </c>
      <c r="J804" s="8">
        <f t="shared" si="579"/>
        <v>0</v>
      </c>
      <c r="K804" s="9">
        <f t="shared" si="580"/>
        <v>0</v>
      </c>
    </row>
    <row r="805" spans="1:11" x14ac:dyDescent="0.25">
      <c r="A805" s="5">
        <v>3</v>
      </c>
      <c r="B805" s="6">
        <f t="shared" ref="B805:C805" si="585">B790</f>
        <v>2</v>
      </c>
      <c r="C805" s="6">
        <f t="shared" si="585"/>
        <v>2</v>
      </c>
      <c r="D805" s="8">
        <f>B805*B799+C805*C799+D799</f>
        <v>-0.14666666666666961</v>
      </c>
      <c r="E805" s="6">
        <f t="shared" si="582"/>
        <v>-1</v>
      </c>
      <c r="F805" s="6">
        <f>$F$10</f>
        <v>-1</v>
      </c>
      <c r="G805" s="20" t="str">
        <f t="shared" si="583"/>
        <v>B</v>
      </c>
      <c r="H805" s="20" t="str">
        <f t="shared" si="584"/>
        <v>B</v>
      </c>
      <c r="I805" s="8">
        <f t="shared" si="578"/>
        <v>0</v>
      </c>
      <c r="J805" s="8">
        <f t="shared" si="579"/>
        <v>0</v>
      </c>
      <c r="K805" s="9">
        <f t="shared" si="580"/>
        <v>0</v>
      </c>
    </row>
    <row r="806" spans="1:11" x14ac:dyDescent="0.25">
      <c r="A806" s="5">
        <v>4</v>
      </c>
      <c r="B806" s="6">
        <f t="shared" ref="B806:C806" si="586">B791</f>
        <v>2</v>
      </c>
      <c r="C806" s="6">
        <f t="shared" si="586"/>
        <v>3</v>
      </c>
      <c r="D806" s="8">
        <f>B806*B799+C806*C799+D799</f>
        <v>0.14666666666666273</v>
      </c>
      <c r="E806" s="6">
        <f t="shared" si="582"/>
        <v>1</v>
      </c>
      <c r="F806" s="6">
        <f>$F$11</f>
        <v>1</v>
      </c>
      <c r="G806" s="20" t="str">
        <f t="shared" si="583"/>
        <v>A</v>
      </c>
      <c r="H806" s="20" t="str">
        <f t="shared" si="584"/>
        <v>A</v>
      </c>
      <c r="I806" s="8">
        <f t="shared" si="578"/>
        <v>0</v>
      </c>
      <c r="J806" s="8">
        <f t="shared" si="579"/>
        <v>0</v>
      </c>
      <c r="K806" s="9">
        <f t="shared" si="580"/>
        <v>0</v>
      </c>
    </row>
    <row r="807" spans="1:11" x14ac:dyDescent="0.25">
      <c r="A807" s="5">
        <v>5</v>
      </c>
      <c r="B807" s="6">
        <f t="shared" ref="B807:C807" si="587">B792</f>
        <v>5</v>
      </c>
      <c r="C807" s="6">
        <f t="shared" si="587"/>
        <v>3</v>
      </c>
      <c r="D807" s="8">
        <f>B807*B799+C807*C799+D799</f>
        <v>0.54666666666666131</v>
      </c>
      <c r="E807" s="6">
        <f t="shared" si="582"/>
        <v>1</v>
      </c>
      <c r="F807" s="6">
        <f>$F$12</f>
        <v>1</v>
      </c>
      <c r="G807" s="20" t="str">
        <f t="shared" si="583"/>
        <v>A</v>
      </c>
      <c r="H807" s="20" t="str">
        <f t="shared" si="584"/>
        <v>A</v>
      </c>
      <c r="I807" s="8">
        <f t="shared" si="578"/>
        <v>0</v>
      </c>
      <c r="J807" s="8">
        <f t="shared" si="579"/>
        <v>0</v>
      </c>
      <c r="K807" s="9">
        <f t="shared" si="580"/>
        <v>0</v>
      </c>
    </row>
    <row r="808" spans="1:11" x14ac:dyDescent="0.25">
      <c r="A808" s="5">
        <v>6</v>
      </c>
      <c r="B808" s="6">
        <f t="shared" ref="B808:C808" si="588">B793</f>
        <v>3</v>
      </c>
      <c r="C808" s="6">
        <f t="shared" si="588"/>
        <v>2</v>
      </c>
      <c r="D808" s="8">
        <f>B808*B799+C808*C799+D799</f>
        <v>-1.333333333333675E-2</v>
      </c>
      <c r="E808" s="6">
        <f t="shared" si="582"/>
        <v>-1</v>
      </c>
      <c r="F808" s="6">
        <f>$F$13</f>
        <v>-1</v>
      </c>
      <c r="G808" s="20" t="str">
        <f t="shared" si="583"/>
        <v>B</v>
      </c>
      <c r="H808" s="20" t="str">
        <f t="shared" si="584"/>
        <v>B</v>
      </c>
      <c r="I808" s="8">
        <f t="shared" si="578"/>
        <v>0</v>
      </c>
      <c r="J808" s="8">
        <f t="shared" si="579"/>
        <v>0</v>
      </c>
      <c r="K808" s="9">
        <f t="shared" si="580"/>
        <v>0</v>
      </c>
    </row>
    <row r="809" spans="1:11" x14ac:dyDescent="0.25">
      <c r="A809" s="5"/>
      <c r="B809" s="6"/>
      <c r="C809" s="6"/>
      <c r="D809" s="6"/>
      <c r="E809" s="6"/>
      <c r="F809" s="6"/>
      <c r="G809" s="20" t="s">
        <v>8</v>
      </c>
      <c r="H809" s="20"/>
      <c r="I809" s="8">
        <f>SUM(I803:I808)</f>
        <v>0</v>
      </c>
      <c r="J809" s="8">
        <f>AVERAGE(J803:J808)</f>
        <v>0</v>
      </c>
      <c r="K809" s="9">
        <f>AVERAGE(K803:K808)</f>
        <v>0</v>
      </c>
    </row>
    <row r="810" spans="1:11" x14ac:dyDescent="0.25">
      <c r="A810" s="5"/>
      <c r="B810" s="6"/>
      <c r="C810" s="6"/>
      <c r="D810" s="6"/>
      <c r="E810" s="6"/>
      <c r="F810" s="6"/>
      <c r="G810" s="20" t="s">
        <v>9</v>
      </c>
      <c r="H810" s="20"/>
      <c r="I810" s="8">
        <f>SUMSQ(I803:I808)</f>
        <v>0</v>
      </c>
      <c r="J810" s="10"/>
      <c r="K810" s="15"/>
    </row>
    <row r="811" spans="1:11" x14ac:dyDescent="0.25">
      <c r="A811" s="11"/>
      <c r="B811" s="12"/>
      <c r="C811" s="12"/>
      <c r="D811" s="12"/>
      <c r="E811" s="12"/>
      <c r="F811" s="12"/>
      <c r="G811" s="21"/>
      <c r="H811" s="21"/>
      <c r="I811" s="18"/>
      <c r="J811" s="13"/>
      <c r="K811" s="16"/>
    </row>
    <row r="812" spans="1:11" x14ac:dyDescent="0.25">
      <c r="A812" s="2" t="s">
        <v>13</v>
      </c>
      <c r="B812" s="3">
        <f>B797+1</f>
        <v>55</v>
      </c>
      <c r="C812" s="3"/>
      <c r="D812" s="3"/>
      <c r="E812" s="3"/>
      <c r="F812" s="3"/>
      <c r="G812" s="19"/>
      <c r="H812" s="19"/>
      <c r="I812" s="17"/>
      <c r="J812" s="3"/>
      <c r="K812" s="4"/>
    </row>
    <row r="813" spans="1:11" x14ac:dyDescent="0.25">
      <c r="A813" s="5"/>
      <c r="B813" s="6" t="s">
        <v>4</v>
      </c>
      <c r="C813" s="6" t="s">
        <v>5</v>
      </c>
      <c r="D813" s="6" t="s">
        <v>6</v>
      </c>
      <c r="E813" s="6"/>
      <c r="F813" s="6"/>
      <c r="G813" s="20"/>
      <c r="H813" s="20"/>
      <c r="I813" s="8"/>
      <c r="J813" s="6"/>
      <c r="K813" s="7"/>
    </row>
    <row r="814" spans="1:11" x14ac:dyDescent="0.25">
      <c r="A814" s="5">
        <v>1</v>
      </c>
      <c r="B814" s="14">
        <f>B799+J809</f>
        <v>0.13333333333333286</v>
      </c>
      <c r="C814" s="14">
        <f>C799+K809</f>
        <v>0.29333333333333234</v>
      </c>
      <c r="D814" s="6">
        <f>D799</f>
        <v>-1</v>
      </c>
      <c r="E814" s="6"/>
      <c r="F814" s="6"/>
      <c r="G814" s="20"/>
      <c r="H814" s="20"/>
      <c r="I814" s="8"/>
      <c r="J814" s="6"/>
      <c r="K814" s="7"/>
    </row>
    <row r="815" spans="1:11" x14ac:dyDescent="0.25">
      <c r="A815" s="5"/>
      <c r="B815" s="6"/>
      <c r="C815" s="6"/>
      <c r="D815" s="6"/>
      <c r="E815" s="6"/>
      <c r="F815" s="6"/>
      <c r="G815" s="20"/>
      <c r="H815" s="20"/>
      <c r="I815" s="8"/>
      <c r="J815" s="6"/>
      <c r="K815" s="7"/>
    </row>
    <row r="816" spans="1:11" x14ac:dyDescent="0.25">
      <c r="A816" s="5"/>
      <c r="B816" s="6"/>
      <c r="C816" s="6"/>
      <c r="D816" s="6"/>
      <c r="E816" s="6"/>
      <c r="F816" s="6"/>
      <c r="G816" s="20"/>
      <c r="H816" s="20"/>
      <c r="I816" s="8"/>
      <c r="J816" s="6"/>
      <c r="K816" s="7"/>
    </row>
    <row r="817" spans="1:11" x14ac:dyDescent="0.25">
      <c r="A817" s="5" t="s">
        <v>10</v>
      </c>
      <c r="B817" s="6" t="s">
        <v>2</v>
      </c>
      <c r="C817" s="6" t="s">
        <v>3</v>
      </c>
      <c r="D817" s="6" t="s">
        <v>0</v>
      </c>
      <c r="E817" s="6" t="s">
        <v>15</v>
      </c>
      <c r="F817" s="6" t="s">
        <v>1</v>
      </c>
      <c r="G817" s="20" t="s">
        <v>17</v>
      </c>
      <c r="H817" s="20" t="s">
        <v>16</v>
      </c>
      <c r="I817" s="8" t="s">
        <v>7</v>
      </c>
      <c r="J817" s="6" t="s">
        <v>11</v>
      </c>
      <c r="K817" s="7" t="s">
        <v>12</v>
      </c>
    </row>
    <row r="818" spans="1:11" x14ac:dyDescent="0.25">
      <c r="A818" s="5">
        <v>1</v>
      </c>
      <c r="B818" s="6">
        <f>B803</f>
        <v>4</v>
      </c>
      <c r="C818" s="6">
        <f>C803</f>
        <v>3</v>
      </c>
      <c r="D818" s="8">
        <f>B818*B814+C818*C814+D814</f>
        <v>0.41333333333332845</v>
      </c>
      <c r="E818" s="6">
        <f>IF(D818&gt;=0,$F$1,$E$1)</f>
        <v>1</v>
      </c>
      <c r="F818" s="6">
        <f>$F$8</f>
        <v>1</v>
      </c>
      <c r="G818" s="20" t="str">
        <f>IF(E818&gt;0,"A","B")</f>
        <v>A</v>
      </c>
      <c r="H818" s="20" t="str">
        <f>IF(F818&gt;0,"A","B")</f>
        <v>A</v>
      </c>
      <c r="I818" s="8">
        <f t="shared" ref="I818:I823" si="589">F818-E818</f>
        <v>0</v>
      </c>
      <c r="J818" s="8">
        <f t="shared" ref="J818:J823" si="590">$C$1*I818*B818</f>
        <v>0</v>
      </c>
      <c r="K818" s="9">
        <f t="shared" ref="K818:K823" si="591">$C$1*I818*C818</f>
        <v>0</v>
      </c>
    </row>
    <row r="819" spans="1:11" x14ac:dyDescent="0.25">
      <c r="A819" s="5">
        <v>2</v>
      </c>
      <c r="B819" s="6">
        <f t="shared" ref="B819:C819" si="592">B804</f>
        <v>1</v>
      </c>
      <c r="C819" s="6">
        <f t="shared" si="592"/>
        <v>1</v>
      </c>
      <c r="D819" s="8">
        <f>B819*B814+C819*C814+D814</f>
        <v>-0.5733333333333348</v>
      </c>
      <c r="E819" s="6">
        <f t="shared" ref="E819:E823" si="593">IF(D819&gt;=0,$F$1,$E$1)</f>
        <v>-1</v>
      </c>
      <c r="F819" s="6">
        <f>$F$9</f>
        <v>-1</v>
      </c>
      <c r="G819" s="20" t="str">
        <f t="shared" ref="G819:G823" si="594">IF(E819&gt;0,"A","B")</f>
        <v>B</v>
      </c>
      <c r="H819" s="20" t="str">
        <f t="shared" ref="H819:H823" si="595">IF(F819&gt;0,"A","B")</f>
        <v>B</v>
      </c>
      <c r="I819" s="8">
        <f t="shared" si="589"/>
        <v>0</v>
      </c>
      <c r="J819" s="8">
        <f t="shared" si="590"/>
        <v>0</v>
      </c>
      <c r="K819" s="9">
        <f t="shared" si="591"/>
        <v>0</v>
      </c>
    </row>
    <row r="820" spans="1:11" x14ac:dyDescent="0.25">
      <c r="A820" s="5">
        <v>3</v>
      </c>
      <c r="B820" s="6">
        <f t="shared" ref="B820:C820" si="596">B805</f>
        <v>2</v>
      </c>
      <c r="C820" s="6">
        <f t="shared" si="596"/>
        <v>2</v>
      </c>
      <c r="D820" s="8">
        <f>B820*B814+C820*C814+D814</f>
        <v>-0.14666666666666961</v>
      </c>
      <c r="E820" s="6">
        <f t="shared" si="593"/>
        <v>-1</v>
      </c>
      <c r="F820" s="6">
        <f>$F$10</f>
        <v>-1</v>
      </c>
      <c r="G820" s="20" t="str">
        <f t="shared" si="594"/>
        <v>B</v>
      </c>
      <c r="H820" s="20" t="str">
        <f t="shared" si="595"/>
        <v>B</v>
      </c>
      <c r="I820" s="8">
        <f t="shared" si="589"/>
        <v>0</v>
      </c>
      <c r="J820" s="8">
        <f t="shared" si="590"/>
        <v>0</v>
      </c>
      <c r="K820" s="9">
        <f t="shared" si="591"/>
        <v>0</v>
      </c>
    </row>
    <row r="821" spans="1:11" x14ac:dyDescent="0.25">
      <c r="A821" s="5">
        <v>4</v>
      </c>
      <c r="B821" s="6">
        <f t="shared" ref="B821:C821" si="597">B806</f>
        <v>2</v>
      </c>
      <c r="C821" s="6">
        <f t="shared" si="597"/>
        <v>3</v>
      </c>
      <c r="D821" s="8">
        <f>B821*B814+C821*C814+D814</f>
        <v>0.14666666666666273</v>
      </c>
      <c r="E821" s="6">
        <f t="shared" si="593"/>
        <v>1</v>
      </c>
      <c r="F821" s="6">
        <f>$F$11</f>
        <v>1</v>
      </c>
      <c r="G821" s="20" t="str">
        <f t="shared" si="594"/>
        <v>A</v>
      </c>
      <c r="H821" s="20" t="str">
        <f t="shared" si="595"/>
        <v>A</v>
      </c>
      <c r="I821" s="8">
        <f t="shared" si="589"/>
        <v>0</v>
      </c>
      <c r="J821" s="8">
        <f t="shared" si="590"/>
        <v>0</v>
      </c>
      <c r="K821" s="9">
        <f t="shared" si="591"/>
        <v>0</v>
      </c>
    </row>
    <row r="822" spans="1:11" x14ac:dyDescent="0.25">
      <c r="A822" s="5">
        <v>5</v>
      </c>
      <c r="B822" s="6">
        <f t="shared" ref="B822:C822" si="598">B807</f>
        <v>5</v>
      </c>
      <c r="C822" s="6">
        <f t="shared" si="598"/>
        <v>3</v>
      </c>
      <c r="D822" s="8">
        <f>B822*B814+C822*C814+D814</f>
        <v>0.54666666666666131</v>
      </c>
      <c r="E822" s="6">
        <f t="shared" si="593"/>
        <v>1</v>
      </c>
      <c r="F822" s="6">
        <f>$F$12</f>
        <v>1</v>
      </c>
      <c r="G822" s="20" t="str">
        <f t="shared" si="594"/>
        <v>A</v>
      </c>
      <c r="H822" s="20" t="str">
        <f t="shared" si="595"/>
        <v>A</v>
      </c>
      <c r="I822" s="8">
        <f t="shared" si="589"/>
        <v>0</v>
      </c>
      <c r="J822" s="8">
        <f t="shared" si="590"/>
        <v>0</v>
      </c>
      <c r="K822" s="9">
        <f t="shared" si="591"/>
        <v>0</v>
      </c>
    </row>
    <row r="823" spans="1:11" x14ac:dyDescent="0.25">
      <c r="A823" s="5">
        <v>6</v>
      </c>
      <c r="B823" s="6">
        <f t="shared" ref="B823:C823" si="599">B808</f>
        <v>3</v>
      </c>
      <c r="C823" s="6">
        <f t="shared" si="599"/>
        <v>2</v>
      </c>
      <c r="D823" s="8">
        <f>B823*B814+C823*C814+D814</f>
        <v>-1.333333333333675E-2</v>
      </c>
      <c r="E823" s="6">
        <f t="shared" si="593"/>
        <v>-1</v>
      </c>
      <c r="F823" s="6">
        <f>$F$13</f>
        <v>-1</v>
      </c>
      <c r="G823" s="20" t="str">
        <f t="shared" si="594"/>
        <v>B</v>
      </c>
      <c r="H823" s="20" t="str">
        <f t="shared" si="595"/>
        <v>B</v>
      </c>
      <c r="I823" s="8">
        <f t="shared" si="589"/>
        <v>0</v>
      </c>
      <c r="J823" s="8">
        <f t="shared" si="590"/>
        <v>0</v>
      </c>
      <c r="K823" s="9">
        <f t="shared" si="591"/>
        <v>0</v>
      </c>
    </row>
    <row r="824" spans="1:11" x14ac:dyDescent="0.25">
      <c r="A824" s="5"/>
      <c r="B824" s="6"/>
      <c r="C824" s="6"/>
      <c r="D824" s="6"/>
      <c r="E824" s="6"/>
      <c r="F824" s="6"/>
      <c r="G824" s="20" t="s">
        <v>8</v>
      </c>
      <c r="H824" s="20"/>
      <c r="I824" s="8">
        <f>SUM(I818:I823)</f>
        <v>0</v>
      </c>
      <c r="J824" s="8">
        <f>AVERAGE(J818:J823)</f>
        <v>0</v>
      </c>
      <c r="K824" s="9">
        <f>AVERAGE(K818:K823)</f>
        <v>0</v>
      </c>
    </row>
    <row r="825" spans="1:11" x14ac:dyDescent="0.25">
      <c r="A825" s="5"/>
      <c r="B825" s="6"/>
      <c r="C825" s="6"/>
      <c r="D825" s="6"/>
      <c r="E825" s="6"/>
      <c r="F825" s="6"/>
      <c r="G825" s="20" t="s">
        <v>9</v>
      </c>
      <c r="H825" s="20"/>
      <c r="I825" s="8">
        <f>SUMSQ(I818:I823)</f>
        <v>0</v>
      </c>
      <c r="J825" s="10"/>
      <c r="K825" s="15"/>
    </row>
    <row r="826" spans="1:11" x14ac:dyDescent="0.25">
      <c r="A826" s="11"/>
      <c r="B826" s="12"/>
      <c r="C826" s="12"/>
      <c r="D826" s="12"/>
      <c r="E826" s="12"/>
      <c r="F826" s="12"/>
      <c r="G826" s="21"/>
      <c r="H826" s="21"/>
      <c r="I826" s="18"/>
      <c r="J826" s="13"/>
      <c r="K826" s="16"/>
    </row>
    <row r="827" spans="1:11" x14ac:dyDescent="0.25">
      <c r="A827" s="2" t="s">
        <v>13</v>
      </c>
      <c r="B827" s="3">
        <f>B812+1</f>
        <v>56</v>
      </c>
      <c r="C827" s="3"/>
      <c r="D827" s="3"/>
      <c r="E827" s="3"/>
      <c r="F827" s="3"/>
      <c r="G827" s="19"/>
      <c r="H827" s="19"/>
      <c r="I827" s="17"/>
      <c r="J827" s="3"/>
      <c r="K827" s="4"/>
    </row>
    <row r="828" spans="1:11" x14ac:dyDescent="0.25">
      <c r="A828" s="5"/>
      <c r="B828" s="6" t="s">
        <v>4</v>
      </c>
      <c r="C828" s="6" t="s">
        <v>5</v>
      </c>
      <c r="D828" s="6" t="s">
        <v>6</v>
      </c>
      <c r="E828" s="6"/>
      <c r="F828" s="6"/>
      <c r="G828" s="20"/>
      <c r="H828" s="20"/>
      <c r="I828" s="8"/>
      <c r="J828" s="6"/>
      <c r="K828" s="7"/>
    </row>
    <row r="829" spans="1:11" x14ac:dyDescent="0.25">
      <c r="A829" s="5">
        <v>1</v>
      </c>
      <c r="B829" s="14">
        <f>B814+J824</f>
        <v>0.13333333333333286</v>
      </c>
      <c r="C829" s="14">
        <f>C814+K824</f>
        <v>0.29333333333333234</v>
      </c>
      <c r="D829" s="6">
        <f>D814</f>
        <v>-1</v>
      </c>
      <c r="E829" s="6"/>
      <c r="F829" s="6"/>
      <c r="G829" s="20"/>
      <c r="H829" s="20"/>
      <c r="I829" s="8"/>
      <c r="J829" s="6"/>
      <c r="K829" s="7"/>
    </row>
    <row r="830" spans="1:11" x14ac:dyDescent="0.25">
      <c r="A830" s="5"/>
      <c r="B830" s="6"/>
      <c r="C830" s="6"/>
      <c r="D830" s="6"/>
      <c r="E830" s="6"/>
      <c r="F830" s="6"/>
      <c r="G830" s="20"/>
      <c r="H830" s="20"/>
      <c r="I830" s="8"/>
      <c r="J830" s="6"/>
      <c r="K830" s="7"/>
    </row>
    <row r="831" spans="1:11" x14ac:dyDescent="0.25">
      <c r="A831" s="5"/>
      <c r="B831" s="6"/>
      <c r="C831" s="6"/>
      <c r="D831" s="6"/>
      <c r="E831" s="6"/>
      <c r="F831" s="6"/>
      <c r="G831" s="20"/>
      <c r="H831" s="20"/>
      <c r="I831" s="8"/>
      <c r="J831" s="6"/>
      <c r="K831" s="7"/>
    </row>
    <row r="832" spans="1:11" x14ac:dyDescent="0.25">
      <c r="A832" s="5" t="s">
        <v>10</v>
      </c>
      <c r="B832" s="6" t="s">
        <v>2</v>
      </c>
      <c r="C832" s="6" t="s">
        <v>3</v>
      </c>
      <c r="D832" s="6" t="s">
        <v>0</v>
      </c>
      <c r="E832" s="6" t="s">
        <v>15</v>
      </c>
      <c r="F832" s="6" t="s">
        <v>1</v>
      </c>
      <c r="G832" s="20" t="s">
        <v>17</v>
      </c>
      <c r="H832" s="20" t="s">
        <v>16</v>
      </c>
      <c r="I832" s="8" t="s">
        <v>7</v>
      </c>
      <c r="J832" s="6" t="s">
        <v>11</v>
      </c>
      <c r="K832" s="7" t="s">
        <v>12</v>
      </c>
    </row>
    <row r="833" spans="1:11" x14ac:dyDescent="0.25">
      <c r="A833" s="5">
        <v>1</v>
      </c>
      <c r="B833" s="6">
        <f>B818</f>
        <v>4</v>
      </c>
      <c r="C833" s="6">
        <f>C818</f>
        <v>3</v>
      </c>
      <c r="D833" s="8">
        <f>B833*B829+C833*C829+D829</f>
        <v>0.41333333333332845</v>
      </c>
      <c r="E833" s="6">
        <f>IF(D833&gt;=0,$F$1,$E$1)</f>
        <v>1</v>
      </c>
      <c r="F833" s="6">
        <f>$F$8</f>
        <v>1</v>
      </c>
      <c r="G833" s="20" t="str">
        <f>IF(E833&gt;0,"A","B")</f>
        <v>A</v>
      </c>
      <c r="H833" s="20" t="str">
        <f>IF(F833&gt;0,"A","B")</f>
        <v>A</v>
      </c>
      <c r="I833" s="8">
        <f t="shared" ref="I833:I838" si="600">F833-E833</f>
        <v>0</v>
      </c>
      <c r="J833" s="8">
        <f t="shared" ref="J833:J838" si="601">$C$1*I833*B833</f>
        <v>0</v>
      </c>
      <c r="K833" s="9">
        <f t="shared" ref="K833:K838" si="602">$C$1*I833*C833</f>
        <v>0</v>
      </c>
    </row>
    <row r="834" spans="1:11" x14ac:dyDescent="0.25">
      <c r="A834" s="5">
        <v>2</v>
      </c>
      <c r="B834" s="6">
        <f t="shared" ref="B834:C834" si="603">B819</f>
        <v>1</v>
      </c>
      <c r="C834" s="6">
        <f t="shared" si="603"/>
        <v>1</v>
      </c>
      <c r="D834" s="8">
        <f>B834*B829+C834*C829+D829</f>
        <v>-0.5733333333333348</v>
      </c>
      <c r="E834" s="6">
        <f t="shared" ref="E834:E838" si="604">IF(D834&gt;=0,$F$1,$E$1)</f>
        <v>-1</v>
      </c>
      <c r="F834" s="6">
        <f>$F$9</f>
        <v>-1</v>
      </c>
      <c r="G834" s="20" t="str">
        <f t="shared" ref="G834:G838" si="605">IF(E834&gt;0,"A","B")</f>
        <v>B</v>
      </c>
      <c r="H834" s="20" t="str">
        <f t="shared" ref="H834:H838" si="606">IF(F834&gt;0,"A","B")</f>
        <v>B</v>
      </c>
      <c r="I834" s="8">
        <f t="shared" si="600"/>
        <v>0</v>
      </c>
      <c r="J834" s="8">
        <f t="shared" si="601"/>
        <v>0</v>
      </c>
      <c r="K834" s="9">
        <f t="shared" si="602"/>
        <v>0</v>
      </c>
    </row>
    <row r="835" spans="1:11" x14ac:dyDescent="0.25">
      <c r="A835" s="5">
        <v>3</v>
      </c>
      <c r="B835" s="6">
        <f t="shared" ref="B835:C835" si="607">B820</f>
        <v>2</v>
      </c>
      <c r="C835" s="6">
        <f t="shared" si="607"/>
        <v>2</v>
      </c>
      <c r="D835" s="8">
        <f>B835*B829+C835*C829+D829</f>
        <v>-0.14666666666666961</v>
      </c>
      <c r="E835" s="6">
        <f t="shared" si="604"/>
        <v>-1</v>
      </c>
      <c r="F835" s="6">
        <f>$F$10</f>
        <v>-1</v>
      </c>
      <c r="G835" s="20" t="str">
        <f t="shared" si="605"/>
        <v>B</v>
      </c>
      <c r="H835" s="20" t="str">
        <f t="shared" si="606"/>
        <v>B</v>
      </c>
      <c r="I835" s="8">
        <f t="shared" si="600"/>
        <v>0</v>
      </c>
      <c r="J835" s="8">
        <f t="shared" si="601"/>
        <v>0</v>
      </c>
      <c r="K835" s="9">
        <f t="shared" si="602"/>
        <v>0</v>
      </c>
    </row>
    <row r="836" spans="1:11" x14ac:dyDescent="0.25">
      <c r="A836" s="5">
        <v>4</v>
      </c>
      <c r="B836" s="6">
        <f t="shared" ref="B836:C836" si="608">B821</f>
        <v>2</v>
      </c>
      <c r="C836" s="6">
        <f t="shared" si="608"/>
        <v>3</v>
      </c>
      <c r="D836" s="8">
        <f>B836*B829+C836*C829+D829</f>
        <v>0.14666666666666273</v>
      </c>
      <c r="E836" s="6">
        <f t="shared" si="604"/>
        <v>1</v>
      </c>
      <c r="F836" s="6">
        <f>$F$11</f>
        <v>1</v>
      </c>
      <c r="G836" s="20" t="str">
        <f t="shared" si="605"/>
        <v>A</v>
      </c>
      <c r="H836" s="20" t="str">
        <f t="shared" si="606"/>
        <v>A</v>
      </c>
      <c r="I836" s="8">
        <f t="shared" si="600"/>
        <v>0</v>
      </c>
      <c r="J836" s="8">
        <f t="shared" si="601"/>
        <v>0</v>
      </c>
      <c r="K836" s="9">
        <f t="shared" si="602"/>
        <v>0</v>
      </c>
    </row>
    <row r="837" spans="1:11" x14ac:dyDescent="0.25">
      <c r="A837" s="5">
        <v>5</v>
      </c>
      <c r="B837" s="6">
        <f t="shared" ref="B837:C837" si="609">B822</f>
        <v>5</v>
      </c>
      <c r="C837" s="6">
        <f t="shared" si="609"/>
        <v>3</v>
      </c>
      <c r="D837" s="8">
        <f>B837*B829+C837*C829+D829</f>
        <v>0.54666666666666131</v>
      </c>
      <c r="E837" s="6">
        <f t="shared" si="604"/>
        <v>1</v>
      </c>
      <c r="F837" s="6">
        <f>$F$12</f>
        <v>1</v>
      </c>
      <c r="G837" s="20" t="str">
        <f t="shared" si="605"/>
        <v>A</v>
      </c>
      <c r="H837" s="20" t="str">
        <f t="shared" si="606"/>
        <v>A</v>
      </c>
      <c r="I837" s="8">
        <f t="shared" si="600"/>
        <v>0</v>
      </c>
      <c r="J837" s="8">
        <f t="shared" si="601"/>
        <v>0</v>
      </c>
      <c r="K837" s="9">
        <f t="shared" si="602"/>
        <v>0</v>
      </c>
    </row>
    <row r="838" spans="1:11" x14ac:dyDescent="0.25">
      <c r="A838" s="5">
        <v>6</v>
      </c>
      <c r="B838" s="6">
        <f t="shared" ref="B838:C838" si="610">B823</f>
        <v>3</v>
      </c>
      <c r="C838" s="6">
        <f t="shared" si="610"/>
        <v>2</v>
      </c>
      <c r="D838" s="8">
        <f>B838*B829+C838*C829+D829</f>
        <v>-1.333333333333675E-2</v>
      </c>
      <c r="E838" s="6">
        <f t="shared" si="604"/>
        <v>-1</v>
      </c>
      <c r="F838" s="6">
        <f>$F$13</f>
        <v>-1</v>
      </c>
      <c r="G838" s="20" t="str">
        <f t="shared" si="605"/>
        <v>B</v>
      </c>
      <c r="H838" s="20" t="str">
        <f t="shared" si="606"/>
        <v>B</v>
      </c>
      <c r="I838" s="8">
        <f t="shared" si="600"/>
        <v>0</v>
      </c>
      <c r="J838" s="8">
        <f t="shared" si="601"/>
        <v>0</v>
      </c>
      <c r="K838" s="9">
        <f t="shared" si="602"/>
        <v>0</v>
      </c>
    </row>
    <row r="839" spans="1:11" x14ac:dyDescent="0.25">
      <c r="A839" s="5"/>
      <c r="B839" s="6"/>
      <c r="C839" s="6"/>
      <c r="D839" s="6"/>
      <c r="E839" s="6"/>
      <c r="F839" s="6"/>
      <c r="G839" s="20" t="s">
        <v>8</v>
      </c>
      <c r="H839" s="20"/>
      <c r="I839" s="8">
        <f>SUM(I833:I838)</f>
        <v>0</v>
      </c>
      <c r="J839" s="8">
        <f>AVERAGE(J833:J838)</f>
        <v>0</v>
      </c>
      <c r="K839" s="9">
        <f>AVERAGE(K833:K838)</f>
        <v>0</v>
      </c>
    </row>
    <row r="840" spans="1:11" x14ac:dyDescent="0.25">
      <c r="A840" s="5"/>
      <c r="B840" s="6"/>
      <c r="C840" s="6"/>
      <c r="D840" s="6"/>
      <c r="E840" s="6"/>
      <c r="F840" s="6"/>
      <c r="G840" s="20" t="s">
        <v>9</v>
      </c>
      <c r="H840" s="20"/>
      <c r="I840" s="8">
        <f>SUMSQ(I833:I838)</f>
        <v>0</v>
      </c>
      <c r="J840" s="10"/>
      <c r="K840" s="15"/>
    </row>
    <row r="841" spans="1:11" x14ac:dyDescent="0.25">
      <c r="A841" s="11"/>
      <c r="B841" s="12"/>
      <c r="C841" s="12"/>
      <c r="D841" s="12"/>
      <c r="E841" s="12"/>
      <c r="F841" s="12"/>
      <c r="G841" s="21"/>
      <c r="H841" s="21"/>
      <c r="I841" s="18"/>
      <c r="J841" s="13"/>
      <c r="K841" s="16"/>
    </row>
    <row r="842" spans="1:11" x14ac:dyDescent="0.25">
      <c r="A842" s="2" t="s">
        <v>13</v>
      </c>
      <c r="B842" s="3">
        <f>B827+1</f>
        <v>57</v>
      </c>
      <c r="C842" s="3"/>
      <c r="D842" s="3"/>
      <c r="E842" s="3"/>
      <c r="F842" s="3"/>
      <c r="G842" s="19"/>
      <c r="H842" s="19"/>
      <c r="I842" s="17"/>
      <c r="J842" s="3"/>
      <c r="K842" s="4"/>
    </row>
    <row r="843" spans="1:11" x14ac:dyDescent="0.25">
      <c r="A843" s="5"/>
      <c r="B843" s="6" t="s">
        <v>4</v>
      </c>
      <c r="C843" s="6" t="s">
        <v>5</v>
      </c>
      <c r="D843" s="6" t="s">
        <v>6</v>
      </c>
      <c r="E843" s="6"/>
      <c r="F843" s="6"/>
      <c r="G843" s="20"/>
      <c r="H843" s="20"/>
      <c r="I843" s="8"/>
      <c r="J843" s="6"/>
      <c r="K843" s="7"/>
    </row>
    <row r="844" spans="1:11" x14ac:dyDescent="0.25">
      <c r="A844" s="5">
        <v>1</v>
      </c>
      <c r="B844" s="14">
        <f>B829+J839</f>
        <v>0.13333333333333286</v>
      </c>
      <c r="C844" s="14">
        <f>C829+K839</f>
        <v>0.29333333333333234</v>
      </c>
      <c r="D844" s="6">
        <f>D829</f>
        <v>-1</v>
      </c>
      <c r="E844" s="6"/>
      <c r="F844" s="6"/>
      <c r="G844" s="20"/>
      <c r="H844" s="20"/>
      <c r="I844" s="8"/>
      <c r="J844" s="6"/>
      <c r="K844" s="7"/>
    </row>
    <row r="845" spans="1:11" x14ac:dyDescent="0.25">
      <c r="A845" s="5"/>
      <c r="B845" s="6"/>
      <c r="C845" s="6"/>
      <c r="D845" s="6"/>
      <c r="E845" s="6"/>
      <c r="F845" s="6"/>
      <c r="G845" s="20"/>
      <c r="H845" s="20"/>
      <c r="I845" s="8"/>
      <c r="J845" s="6"/>
      <c r="K845" s="7"/>
    </row>
    <row r="846" spans="1:11" x14ac:dyDescent="0.25">
      <c r="A846" s="5"/>
      <c r="B846" s="6"/>
      <c r="C846" s="6"/>
      <c r="D846" s="6"/>
      <c r="E846" s="6"/>
      <c r="F846" s="6"/>
      <c r="G846" s="20"/>
      <c r="H846" s="20"/>
      <c r="I846" s="8"/>
      <c r="J846" s="6"/>
      <c r="K846" s="7"/>
    </row>
    <row r="847" spans="1:11" x14ac:dyDescent="0.25">
      <c r="A847" s="5" t="s">
        <v>10</v>
      </c>
      <c r="B847" s="6" t="s">
        <v>2</v>
      </c>
      <c r="C847" s="6" t="s">
        <v>3</v>
      </c>
      <c r="D847" s="6" t="s">
        <v>0</v>
      </c>
      <c r="E847" s="6" t="s">
        <v>15</v>
      </c>
      <c r="F847" s="6" t="s">
        <v>1</v>
      </c>
      <c r="G847" s="20" t="s">
        <v>17</v>
      </c>
      <c r="H847" s="20" t="s">
        <v>16</v>
      </c>
      <c r="I847" s="8" t="s">
        <v>7</v>
      </c>
      <c r="J847" s="6" t="s">
        <v>11</v>
      </c>
      <c r="K847" s="7" t="s">
        <v>12</v>
      </c>
    </row>
    <row r="848" spans="1:11" x14ac:dyDescent="0.25">
      <c r="A848" s="5">
        <v>1</v>
      </c>
      <c r="B848" s="6">
        <f>B833</f>
        <v>4</v>
      </c>
      <c r="C848" s="6">
        <f>C833</f>
        <v>3</v>
      </c>
      <c r="D848" s="8">
        <f>B848*B844+C848*C844+D844</f>
        <v>0.41333333333332845</v>
      </c>
      <c r="E848" s="6">
        <f>IF(D848&gt;=0,$F$1,$E$1)</f>
        <v>1</v>
      </c>
      <c r="F848" s="6">
        <f>$F$8</f>
        <v>1</v>
      </c>
      <c r="G848" s="20" t="str">
        <f>IF(E848&gt;0,"A","B")</f>
        <v>A</v>
      </c>
      <c r="H848" s="20" t="str">
        <f>IF(F848&gt;0,"A","B")</f>
        <v>A</v>
      </c>
      <c r="I848" s="8">
        <f t="shared" ref="I848:I853" si="611">F848-E848</f>
        <v>0</v>
      </c>
      <c r="J848" s="8">
        <f t="shared" ref="J848:J853" si="612">$C$1*I848*B848</f>
        <v>0</v>
      </c>
      <c r="K848" s="9">
        <f t="shared" ref="K848:K853" si="613">$C$1*I848*C848</f>
        <v>0</v>
      </c>
    </row>
    <row r="849" spans="1:11" x14ac:dyDescent="0.25">
      <c r="A849" s="5">
        <v>2</v>
      </c>
      <c r="B849" s="6">
        <f t="shared" ref="B849:C849" si="614">B834</f>
        <v>1</v>
      </c>
      <c r="C849" s="6">
        <f t="shared" si="614"/>
        <v>1</v>
      </c>
      <c r="D849" s="8">
        <f>B849*B844+C849*C844+D844</f>
        <v>-0.5733333333333348</v>
      </c>
      <c r="E849" s="6">
        <f t="shared" ref="E849:E853" si="615">IF(D849&gt;=0,$F$1,$E$1)</f>
        <v>-1</v>
      </c>
      <c r="F849" s="6">
        <f>$F$9</f>
        <v>-1</v>
      </c>
      <c r="G849" s="20" t="str">
        <f t="shared" ref="G849:G853" si="616">IF(E849&gt;0,"A","B")</f>
        <v>B</v>
      </c>
      <c r="H849" s="20" t="str">
        <f t="shared" ref="H849:H853" si="617">IF(F849&gt;0,"A","B")</f>
        <v>B</v>
      </c>
      <c r="I849" s="8">
        <f t="shared" si="611"/>
        <v>0</v>
      </c>
      <c r="J849" s="8">
        <f t="shared" si="612"/>
        <v>0</v>
      </c>
      <c r="K849" s="9">
        <f t="shared" si="613"/>
        <v>0</v>
      </c>
    </row>
    <row r="850" spans="1:11" x14ac:dyDescent="0.25">
      <c r="A850" s="5">
        <v>3</v>
      </c>
      <c r="B850" s="6">
        <f t="shared" ref="B850:C850" si="618">B835</f>
        <v>2</v>
      </c>
      <c r="C850" s="6">
        <f t="shared" si="618"/>
        <v>2</v>
      </c>
      <c r="D850" s="8">
        <f>B850*B844+C850*C844+D844</f>
        <v>-0.14666666666666961</v>
      </c>
      <c r="E850" s="6">
        <f t="shared" si="615"/>
        <v>-1</v>
      </c>
      <c r="F850" s="6">
        <f>$F$10</f>
        <v>-1</v>
      </c>
      <c r="G850" s="20" t="str">
        <f t="shared" si="616"/>
        <v>B</v>
      </c>
      <c r="H850" s="20" t="str">
        <f t="shared" si="617"/>
        <v>B</v>
      </c>
      <c r="I850" s="8">
        <f t="shared" si="611"/>
        <v>0</v>
      </c>
      <c r="J850" s="8">
        <f t="shared" si="612"/>
        <v>0</v>
      </c>
      <c r="K850" s="9">
        <f t="shared" si="613"/>
        <v>0</v>
      </c>
    </row>
    <row r="851" spans="1:11" x14ac:dyDescent="0.25">
      <c r="A851" s="5">
        <v>4</v>
      </c>
      <c r="B851" s="6">
        <f t="shared" ref="B851:C851" si="619">B836</f>
        <v>2</v>
      </c>
      <c r="C851" s="6">
        <f t="shared" si="619"/>
        <v>3</v>
      </c>
      <c r="D851" s="8">
        <f>B851*B844+C851*C844+D844</f>
        <v>0.14666666666666273</v>
      </c>
      <c r="E851" s="6">
        <f t="shared" si="615"/>
        <v>1</v>
      </c>
      <c r="F851" s="6">
        <f>$F$11</f>
        <v>1</v>
      </c>
      <c r="G851" s="20" t="str">
        <f t="shared" si="616"/>
        <v>A</v>
      </c>
      <c r="H851" s="20" t="str">
        <f t="shared" si="617"/>
        <v>A</v>
      </c>
      <c r="I851" s="8">
        <f t="shared" si="611"/>
        <v>0</v>
      </c>
      <c r="J851" s="8">
        <f t="shared" si="612"/>
        <v>0</v>
      </c>
      <c r="K851" s="9">
        <f t="shared" si="613"/>
        <v>0</v>
      </c>
    </row>
    <row r="852" spans="1:11" x14ac:dyDescent="0.25">
      <c r="A852" s="5">
        <v>5</v>
      </c>
      <c r="B852" s="6">
        <f t="shared" ref="B852:C852" si="620">B837</f>
        <v>5</v>
      </c>
      <c r="C852" s="6">
        <f t="shared" si="620"/>
        <v>3</v>
      </c>
      <c r="D852" s="8">
        <f>B852*B844+C852*C844+D844</f>
        <v>0.54666666666666131</v>
      </c>
      <c r="E852" s="6">
        <f t="shared" si="615"/>
        <v>1</v>
      </c>
      <c r="F852" s="6">
        <f>$F$12</f>
        <v>1</v>
      </c>
      <c r="G852" s="20" t="str">
        <f t="shared" si="616"/>
        <v>A</v>
      </c>
      <c r="H852" s="20" t="str">
        <f t="shared" si="617"/>
        <v>A</v>
      </c>
      <c r="I852" s="8">
        <f t="shared" si="611"/>
        <v>0</v>
      </c>
      <c r="J852" s="8">
        <f t="shared" si="612"/>
        <v>0</v>
      </c>
      <c r="K852" s="9">
        <f t="shared" si="613"/>
        <v>0</v>
      </c>
    </row>
    <row r="853" spans="1:11" x14ac:dyDescent="0.25">
      <c r="A853" s="5">
        <v>6</v>
      </c>
      <c r="B853" s="6">
        <f t="shared" ref="B853:C853" si="621">B838</f>
        <v>3</v>
      </c>
      <c r="C853" s="6">
        <f t="shared" si="621"/>
        <v>2</v>
      </c>
      <c r="D853" s="8">
        <f>B853*B844+C853*C844+D844</f>
        <v>-1.333333333333675E-2</v>
      </c>
      <c r="E853" s="6">
        <f t="shared" si="615"/>
        <v>-1</v>
      </c>
      <c r="F853" s="6">
        <f>$F$13</f>
        <v>-1</v>
      </c>
      <c r="G853" s="20" t="str">
        <f t="shared" si="616"/>
        <v>B</v>
      </c>
      <c r="H853" s="20" t="str">
        <f t="shared" si="617"/>
        <v>B</v>
      </c>
      <c r="I853" s="8">
        <f t="shared" si="611"/>
        <v>0</v>
      </c>
      <c r="J853" s="8">
        <f t="shared" si="612"/>
        <v>0</v>
      </c>
      <c r="K853" s="9">
        <f t="shared" si="613"/>
        <v>0</v>
      </c>
    </row>
    <row r="854" spans="1:11" x14ac:dyDescent="0.25">
      <c r="A854" s="5"/>
      <c r="B854" s="6"/>
      <c r="C854" s="6"/>
      <c r="D854" s="6"/>
      <c r="E854" s="6"/>
      <c r="F854" s="6"/>
      <c r="G854" s="20" t="s">
        <v>8</v>
      </c>
      <c r="H854" s="20"/>
      <c r="I854" s="8">
        <f>SUM(I848:I853)</f>
        <v>0</v>
      </c>
      <c r="J854" s="8">
        <f>AVERAGE(J848:J853)</f>
        <v>0</v>
      </c>
      <c r="K854" s="9">
        <f>AVERAGE(K848:K853)</f>
        <v>0</v>
      </c>
    </row>
    <row r="855" spans="1:11" x14ac:dyDescent="0.25">
      <c r="A855" s="5"/>
      <c r="B855" s="6"/>
      <c r="C855" s="6"/>
      <c r="D855" s="6"/>
      <c r="E855" s="6"/>
      <c r="F855" s="6"/>
      <c r="G855" s="20" t="s">
        <v>9</v>
      </c>
      <c r="H855" s="20"/>
      <c r="I855" s="8">
        <f>SUMSQ(I848:I853)</f>
        <v>0</v>
      </c>
      <c r="J855" s="10"/>
      <c r="K855" s="15"/>
    </row>
    <row r="856" spans="1:11" x14ac:dyDescent="0.25">
      <c r="A856" s="11"/>
      <c r="B856" s="12"/>
      <c r="C856" s="12"/>
      <c r="D856" s="12"/>
      <c r="E856" s="12"/>
      <c r="F856" s="12"/>
      <c r="G856" s="21"/>
      <c r="H856" s="21"/>
      <c r="I856" s="18"/>
      <c r="J856" s="13"/>
      <c r="K856" s="16"/>
    </row>
    <row r="857" spans="1:11" x14ac:dyDescent="0.25">
      <c r="A857" s="2" t="s">
        <v>13</v>
      </c>
      <c r="B857" s="3">
        <f>B842+1</f>
        <v>58</v>
      </c>
      <c r="C857" s="3"/>
      <c r="D857" s="3"/>
      <c r="E857" s="3"/>
      <c r="F857" s="3"/>
      <c r="G857" s="19"/>
      <c r="H857" s="19"/>
      <c r="I857" s="17"/>
      <c r="J857" s="3"/>
      <c r="K857" s="4"/>
    </row>
    <row r="858" spans="1:11" x14ac:dyDescent="0.25">
      <c r="A858" s="5"/>
      <c r="B858" s="6" t="s">
        <v>4</v>
      </c>
      <c r="C858" s="6" t="s">
        <v>5</v>
      </c>
      <c r="D858" s="6" t="s">
        <v>6</v>
      </c>
      <c r="E858" s="6"/>
      <c r="F858" s="6"/>
      <c r="G858" s="20"/>
      <c r="H858" s="20"/>
      <c r="I858" s="8"/>
      <c r="J858" s="6"/>
      <c r="K858" s="7"/>
    </row>
    <row r="859" spans="1:11" x14ac:dyDescent="0.25">
      <c r="A859" s="5">
        <v>1</v>
      </c>
      <c r="B859" s="14">
        <f>B844+J854</f>
        <v>0.13333333333333286</v>
      </c>
      <c r="C859" s="14">
        <f>C844+K854</f>
        <v>0.29333333333333234</v>
      </c>
      <c r="D859" s="6">
        <f>D844</f>
        <v>-1</v>
      </c>
      <c r="E859" s="6"/>
      <c r="F859" s="6"/>
      <c r="G859" s="20"/>
      <c r="H859" s="20"/>
      <c r="I859" s="8"/>
      <c r="J859" s="6"/>
      <c r="K859" s="7"/>
    </row>
    <row r="860" spans="1:11" x14ac:dyDescent="0.25">
      <c r="A860" s="5"/>
      <c r="B860" s="6"/>
      <c r="C860" s="6"/>
      <c r="D860" s="6"/>
      <c r="E860" s="6"/>
      <c r="F860" s="6"/>
      <c r="G860" s="20"/>
      <c r="H860" s="20"/>
      <c r="I860" s="8"/>
      <c r="J860" s="6"/>
      <c r="K860" s="7"/>
    </row>
    <row r="861" spans="1:11" x14ac:dyDescent="0.25">
      <c r="A861" s="5"/>
      <c r="B861" s="6"/>
      <c r="C861" s="6"/>
      <c r="D861" s="6"/>
      <c r="E861" s="6"/>
      <c r="F861" s="6"/>
      <c r="G861" s="20"/>
      <c r="H861" s="20"/>
      <c r="I861" s="8"/>
      <c r="J861" s="6"/>
      <c r="K861" s="7"/>
    </row>
    <row r="862" spans="1:11" x14ac:dyDescent="0.25">
      <c r="A862" s="5" t="s">
        <v>10</v>
      </c>
      <c r="B862" s="6" t="s">
        <v>2</v>
      </c>
      <c r="C862" s="6" t="s">
        <v>3</v>
      </c>
      <c r="D862" s="6" t="s">
        <v>0</v>
      </c>
      <c r="E862" s="6" t="s">
        <v>15</v>
      </c>
      <c r="F862" s="6" t="s">
        <v>1</v>
      </c>
      <c r="G862" s="20" t="s">
        <v>17</v>
      </c>
      <c r="H862" s="20" t="s">
        <v>16</v>
      </c>
      <c r="I862" s="8" t="s">
        <v>7</v>
      </c>
      <c r="J862" s="6" t="s">
        <v>11</v>
      </c>
      <c r="K862" s="7" t="s">
        <v>12</v>
      </c>
    </row>
    <row r="863" spans="1:11" x14ac:dyDescent="0.25">
      <c r="A863" s="5">
        <v>1</v>
      </c>
      <c r="B863" s="6">
        <f>B848</f>
        <v>4</v>
      </c>
      <c r="C863" s="6">
        <f>C848</f>
        <v>3</v>
      </c>
      <c r="D863" s="8">
        <f>B863*B859+C863*C859+D859</f>
        <v>0.41333333333332845</v>
      </c>
      <c r="E863" s="6">
        <f>IF(D863&gt;=0,$F$1,$E$1)</f>
        <v>1</v>
      </c>
      <c r="F863" s="6">
        <f>$F$8</f>
        <v>1</v>
      </c>
      <c r="G863" s="20" t="str">
        <f>IF(E863&gt;0,"A","B")</f>
        <v>A</v>
      </c>
      <c r="H863" s="20" t="str">
        <f>IF(F863&gt;0,"A","B")</f>
        <v>A</v>
      </c>
      <c r="I863" s="8">
        <f t="shared" ref="I863:I868" si="622">F863-E863</f>
        <v>0</v>
      </c>
      <c r="J863" s="8">
        <f t="shared" ref="J863:J868" si="623">$C$1*I863*B863</f>
        <v>0</v>
      </c>
      <c r="K863" s="9">
        <f t="shared" ref="K863:K868" si="624">$C$1*I863*C863</f>
        <v>0</v>
      </c>
    </row>
    <row r="864" spans="1:11" x14ac:dyDescent="0.25">
      <c r="A864" s="5">
        <v>2</v>
      </c>
      <c r="B864" s="6">
        <f t="shared" ref="B864:C864" si="625">B849</f>
        <v>1</v>
      </c>
      <c r="C864" s="6">
        <f t="shared" si="625"/>
        <v>1</v>
      </c>
      <c r="D864" s="8">
        <f>B864*B859+C864*C859+D859</f>
        <v>-0.5733333333333348</v>
      </c>
      <c r="E864" s="6">
        <f t="shared" ref="E864:E868" si="626">IF(D864&gt;=0,$F$1,$E$1)</f>
        <v>-1</v>
      </c>
      <c r="F864" s="6">
        <f>$F$9</f>
        <v>-1</v>
      </c>
      <c r="G864" s="20" t="str">
        <f t="shared" ref="G864:G868" si="627">IF(E864&gt;0,"A","B")</f>
        <v>B</v>
      </c>
      <c r="H864" s="20" t="str">
        <f t="shared" ref="H864:H868" si="628">IF(F864&gt;0,"A","B")</f>
        <v>B</v>
      </c>
      <c r="I864" s="8">
        <f t="shared" si="622"/>
        <v>0</v>
      </c>
      <c r="J864" s="8">
        <f t="shared" si="623"/>
        <v>0</v>
      </c>
      <c r="K864" s="9">
        <f t="shared" si="624"/>
        <v>0</v>
      </c>
    </row>
    <row r="865" spans="1:11" x14ac:dyDescent="0.25">
      <c r="A865" s="5">
        <v>3</v>
      </c>
      <c r="B865" s="6">
        <f t="shared" ref="B865:C865" si="629">B850</f>
        <v>2</v>
      </c>
      <c r="C865" s="6">
        <f t="shared" si="629"/>
        <v>2</v>
      </c>
      <c r="D865" s="8">
        <f>B865*B859+C865*C859+D859</f>
        <v>-0.14666666666666961</v>
      </c>
      <c r="E865" s="6">
        <f t="shared" si="626"/>
        <v>-1</v>
      </c>
      <c r="F865" s="6">
        <f>$F$10</f>
        <v>-1</v>
      </c>
      <c r="G865" s="20" t="str">
        <f t="shared" si="627"/>
        <v>B</v>
      </c>
      <c r="H865" s="20" t="str">
        <f t="shared" si="628"/>
        <v>B</v>
      </c>
      <c r="I865" s="8">
        <f t="shared" si="622"/>
        <v>0</v>
      </c>
      <c r="J865" s="8">
        <f t="shared" si="623"/>
        <v>0</v>
      </c>
      <c r="K865" s="9">
        <f t="shared" si="624"/>
        <v>0</v>
      </c>
    </row>
    <row r="866" spans="1:11" x14ac:dyDescent="0.25">
      <c r="A866" s="5">
        <v>4</v>
      </c>
      <c r="B866" s="6">
        <f t="shared" ref="B866:C866" si="630">B851</f>
        <v>2</v>
      </c>
      <c r="C866" s="6">
        <f t="shared" si="630"/>
        <v>3</v>
      </c>
      <c r="D866" s="8">
        <f>B866*B859+C866*C859+D859</f>
        <v>0.14666666666666273</v>
      </c>
      <c r="E866" s="6">
        <f t="shared" si="626"/>
        <v>1</v>
      </c>
      <c r="F866" s="6">
        <f>$F$11</f>
        <v>1</v>
      </c>
      <c r="G866" s="20" t="str">
        <f t="shared" si="627"/>
        <v>A</v>
      </c>
      <c r="H866" s="20" t="str">
        <f t="shared" si="628"/>
        <v>A</v>
      </c>
      <c r="I866" s="8">
        <f t="shared" si="622"/>
        <v>0</v>
      </c>
      <c r="J866" s="8">
        <f t="shared" si="623"/>
        <v>0</v>
      </c>
      <c r="K866" s="9">
        <f t="shared" si="624"/>
        <v>0</v>
      </c>
    </row>
    <row r="867" spans="1:11" x14ac:dyDescent="0.25">
      <c r="A867" s="5">
        <v>5</v>
      </c>
      <c r="B867" s="6">
        <f t="shared" ref="B867:C867" si="631">B852</f>
        <v>5</v>
      </c>
      <c r="C867" s="6">
        <f t="shared" si="631"/>
        <v>3</v>
      </c>
      <c r="D867" s="8">
        <f>B867*B859+C867*C859+D859</f>
        <v>0.54666666666666131</v>
      </c>
      <c r="E867" s="6">
        <f t="shared" si="626"/>
        <v>1</v>
      </c>
      <c r="F867" s="6">
        <f>$F$12</f>
        <v>1</v>
      </c>
      <c r="G867" s="20" t="str">
        <f t="shared" si="627"/>
        <v>A</v>
      </c>
      <c r="H867" s="20" t="str">
        <f t="shared" si="628"/>
        <v>A</v>
      </c>
      <c r="I867" s="8">
        <f t="shared" si="622"/>
        <v>0</v>
      </c>
      <c r="J867" s="8">
        <f t="shared" si="623"/>
        <v>0</v>
      </c>
      <c r="K867" s="9">
        <f t="shared" si="624"/>
        <v>0</v>
      </c>
    </row>
    <row r="868" spans="1:11" x14ac:dyDescent="0.25">
      <c r="A868" s="5">
        <v>6</v>
      </c>
      <c r="B868" s="6">
        <f t="shared" ref="B868:C868" si="632">B853</f>
        <v>3</v>
      </c>
      <c r="C868" s="6">
        <f t="shared" si="632"/>
        <v>2</v>
      </c>
      <c r="D868" s="8">
        <f>B868*B859+C868*C859+D859</f>
        <v>-1.333333333333675E-2</v>
      </c>
      <c r="E868" s="6">
        <f t="shared" si="626"/>
        <v>-1</v>
      </c>
      <c r="F868" s="6">
        <f>$F$13</f>
        <v>-1</v>
      </c>
      <c r="G868" s="20" t="str">
        <f t="shared" si="627"/>
        <v>B</v>
      </c>
      <c r="H868" s="20" t="str">
        <f t="shared" si="628"/>
        <v>B</v>
      </c>
      <c r="I868" s="8">
        <f t="shared" si="622"/>
        <v>0</v>
      </c>
      <c r="J868" s="8">
        <f t="shared" si="623"/>
        <v>0</v>
      </c>
      <c r="K868" s="9">
        <f t="shared" si="624"/>
        <v>0</v>
      </c>
    </row>
    <row r="869" spans="1:11" x14ac:dyDescent="0.25">
      <c r="A869" s="5"/>
      <c r="B869" s="6"/>
      <c r="C869" s="6"/>
      <c r="D869" s="6"/>
      <c r="E869" s="6"/>
      <c r="F869" s="6"/>
      <c r="G869" s="20" t="s">
        <v>8</v>
      </c>
      <c r="H869" s="20"/>
      <c r="I869" s="8">
        <f>SUM(I863:I868)</f>
        <v>0</v>
      </c>
      <c r="J869" s="8">
        <f>AVERAGE(J863:J868)</f>
        <v>0</v>
      </c>
      <c r="K869" s="9">
        <f>AVERAGE(K863:K868)</f>
        <v>0</v>
      </c>
    </row>
    <row r="870" spans="1:11" x14ac:dyDescent="0.25">
      <c r="A870" s="5"/>
      <c r="B870" s="6"/>
      <c r="C870" s="6"/>
      <c r="D870" s="6"/>
      <c r="E870" s="6"/>
      <c r="F870" s="6"/>
      <c r="G870" s="20" t="s">
        <v>9</v>
      </c>
      <c r="H870" s="20"/>
      <c r="I870" s="8">
        <f>SUMSQ(I863:I868)</f>
        <v>0</v>
      </c>
      <c r="J870" s="10"/>
      <c r="K870" s="15"/>
    </row>
    <row r="871" spans="1:11" x14ac:dyDescent="0.25">
      <c r="A871" s="11"/>
      <c r="B871" s="12"/>
      <c r="C871" s="12"/>
      <c r="D871" s="12"/>
      <c r="E871" s="12"/>
      <c r="F871" s="12"/>
      <c r="G871" s="21"/>
      <c r="H871" s="21"/>
      <c r="I871" s="18"/>
      <c r="J871" s="13"/>
      <c r="K871" s="16"/>
    </row>
    <row r="872" spans="1:11" x14ac:dyDescent="0.25">
      <c r="A872" s="2" t="s">
        <v>13</v>
      </c>
      <c r="B872" s="3">
        <f>B857+1</f>
        <v>59</v>
      </c>
      <c r="C872" s="3"/>
      <c r="D872" s="3"/>
      <c r="E872" s="3"/>
      <c r="F872" s="3"/>
      <c r="G872" s="19"/>
      <c r="H872" s="19"/>
      <c r="I872" s="17"/>
      <c r="J872" s="3"/>
      <c r="K872" s="4"/>
    </row>
    <row r="873" spans="1:11" x14ac:dyDescent="0.25">
      <c r="A873" s="5"/>
      <c r="B873" s="6" t="s">
        <v>4</v>
      </c>
      <c r="C873" s="6" t="s">
        <v>5</v>
      </c>
      <c r="D873" s="6" t="s">
        <v>6</v>
      </c>
      <c r="E873" s="6"/>
      <c r="F873" s="6"/>
      <c r="G873" s="20"/>
      <c r="H873" s="20"/>
      <c r="I873" s="8"/>
      <c r="J873" s="6"/>
      <c r="K873" s="7"/>
    </row>
    <row r="874" spans="1:11" x14ac:dyDescent="0.25">
      <c r="A874" s="5">
        <v>1</v>
      </c>
      <c r="B874" s="14">
        <f>B859+J869</f>
        <v>0.13333333333333286</v>
      </c>
      <c r="C874" s="14">
        <f>C859+K869</f>
        <v>0.29333333333333234</v>
      </c>
      <c r="D874" s="6">
        <f>D859</f>
        <v>-1</v>
      </c>
      <c r="E874" s="6"/>
      <c r="F874" s="6"/>
      <c r="G874" s="20"/>
      <c r="H874" s="20"/>
      <c r="I874" s="8"/>
      <c r="J874" s="6"/>
      <c r="K874" s="7"/>
    </row>
    <row r="875" spans="1:11" x14ac:dyDescent="0.25">
      <c r="A875" s="5"/>
      <c r="B875" s="6"/>
      <c r="C875" s="6"/>
      <c r="D875" s="6"/>
      <c r="E875" s="6"/>
      <c r="F875" s="6"/>
      <c r="G875" s="20"/>
      <c r="H875" s="20"/>
      <c r="I875" s="8"/>
      <c r="J875" s="6"/>
      <c r="K875" s="7"/>
    </row>
    <row r="876" spans="1:11" x14ac:dyDescent="0.25">
      <c r="A876" s="5"/>
      <c r="B876" s="6"/>
      <c r="C876" s="6"/>
      <c r="D876" s="6"/>
      <c r="E876" s="6"/>
      <c r="F876" s="6"/>
      <c r="G876" s="20"/>
      <c r="H876" s="20"/>
      <c r="I876" s="8"/>
      <c r="J876" s="6"/>
      <c r="K876" s="7"/>
    </row>
    <row r="877" spans="1:11" x14ac:dyDescent="0.25">
      <c r="A877" s="5" t="s">
        <v>10</v>
      </c>
      <c r="B877" s="6" t="s">
        <v>2</v>
      </c>
      <c r="C877" s="6" t="s">
        <v>3</v>
      </c>
      <c r="D877" s="6" t="s">
        <v>0</v>
      </c>
      <c r="E877" s="6" t="s">
        <v>15</v>
      </c>
      <c r="F877" s="6" t="s">
        <v>1</v>
      </c>
      <c r="G877" s="20" t="s">
        <v>17</v>
      </c>
      <c r="H877" s="20" t="s">
        <v>16</v>
      </c>
      <c r="I877" s="8" t="s">
        <v>7</v>
      </c>
      <c r="J877" s="6" t="s">
        <v>11</v>
      </c>
      <c r="K877" s="7" t="s">
        <v>12</v>
      </c>
    </row>
    <row r="878" spans="1:11" x14ac:dyDescent="0.25">
      <c r="A878" s="5">
        <v>1</v>
      </c>
      <c r="B878" s="6">
        <f>B863</f>
        <v>4</v>
      </c>
      <c r="C878" s="6">
        <f>C863</f>
        <v>3</v>
      </c>
      <c r="D878" s="8">
        <f>B878*B874+C878*C874+D874</f>
        <v>0.41333333333332845</v>
      </c>
      <c r="E878" s="6">
        <f>IF(D878&gt;=0,$F$1,$E$1)</f>
        <v>1</v>
      </c>
      <c r="F878" s="6">
        <f>$F$8</f>
        <v>1</v>
      </c>
      <c r="G878" s="20" t="str">
        <f>IF(E878&gt;0,"A","B")</f>
        <v>A</v>
      </c>
      <c r="H878" s="20" t="str">
        <f>IF(F878&gt;0,"A","B")</f>
        <v>A</v>
      </c>
      <c r="I878" s="8">
        <f t="shared" ref="I878:I883" si="633">F878-E878</f>
        <v>0</v>
      </c>
      <c r="J878" s="8">
        <f t="shared" ref="J878:J883" si="634">$C$1*I878*B878</f>
        <v>0</v>
      </c>
      <c r="K878" s="9">
        <f t="shared" ref="K878:K883" si="635">$C$1*I878*C878</f>
        <v>0</v>
      </c>
    </row>
    <row r="879" spans="1:11" x14ac:dyDescent="0.25">
      <c r="A879" s="5">
        <v>2</v>
      </c>
      <c r="B879" s="6">
        <f t="shared" ref="B879:C879" si="636">B864</f>
        <v>1</v>
      </c>
      <c r="C879" s="6">
        <f t="shared" si="636"/>
        <v>1</v>
      </c>
      <c r="D879" s="8">
        <f>B879*B874+C879*C874+D874</f>
        <v>-0.5733333333333348</v>
      </c>
      <c r="E879" s="6">
        <f t="shared" ref="E879:E883" si="637">IF(D879&gt;=0,$F$1,$E$1)</f>
        <v>-1</v>
      </c>
      <c r="F879" s="6">
        <f>$F$9</f>
        <v>-1</v>
      </c>
      <c r="G879" s="20" t="str">
        <f t="shared" ref="G879:G883" si="638">IF(E879&gt;0,"A","B")</f>
        <v>B</v>
      </c>
      <c r="H879" s="20" t="str">
        <f t="shared" ref="H879:H883" si="639">IF(F879&gt;0,"A","B")</f>
        <v>B</v>
      </c>
      <c r="I879" s="8">
        <f t="shared" si="633"/>
        <v>0</v>
      </c>
      <c r="J879" s="8">
        <f t="shared" si="634"/>
        <v>0</v>
      </c>
      <c r="K879" s="9">
        <f t="shared" si="635"/>
        <v>0</v>
      </c>
    </row>
    <row r="880" spans="1:11" x14ac:dyDescent="0.25">
      <c r="A880" s="5">
        <v>3</v>
      </c>
      <c r="B880" s="6">
        <f t="shared" ref="B880:C880" si="640">B865</f>
        <v>2</v>
      </c>
      <c r="C880" s="6">
        <f t="shared" si="640"/>
        <v>2</v>
      </c>
      <c r="D880" s="8">
        <f>B880*B874+C880*C874+D874</f>
        <v>-0.14666666666666961</v>
      </c>
      <c r="E880" s="6">
        <f t="shared" si="637"/>
        <v>-1</v>
      </c>
      <c r="F880" s="6">
        <f>$F$10</f>
        <v>-1</v>
      </c>
      <c r="G880" s="20" t="str">
        <f t="shared" si="638"/>
        <v>B</v>
      </c>
      <c r="H880" s="20" t="str">
        <f t="shared" si="639"/>
        <v>B</v>
      </c>
      <c r="I880" s="8">
        <f t="shared" si="633"/>
        <v>0</v>
      </c>
      <c r="J880" s="8">
        <f t="shared" si="634"/>
        <v>0</v>
      </c>
      <c r="K880" s="9">
        <f t="shared" si="635"/>
        <v>0</v>
      </c>
    </row>
    <row r="881" spans="1:11" x14ac:dyDescent="0.25">
      <c r="A881" s="5">
        <v>4</v>
      </c>
      <c r="B881" s="6">
        <f t="shared" ref="B881:C881" si="641">B866</f>
        <v>2</v>
      </c>
      <c r="C881" s="6">
        <f t="shared" si="641"/>
        <v>3</v>
      </c>
      <c r="D881" s="8">
        <f>B881*B874+C881*C874+D874</f>
        <v>0.14666666666666273</v>
      </c>
      <c r="E881" s="6">
        <f t="shared" si="637"/>
        <v>1</v>
      </c>
      <c r="F881" s="6">
        <f>$F$11</f>
        <v>1</v>
      </c>
      <c r="G881" s="20" t="str">
        <f t="shared" si="638"/>
        <v>A</v>
      </c>
      <c r="H881" s="20" t="str">
        <f t="shared" si="639"/>
        <v>A</v>
      </c>
      <c r="I881" s="8">
        <f t="shared" si="633"/>
        <v>0</v>
      </c>
      <c r="J881" s="8">
        <f t="shared" si="634"/>
        <v>0</v>
      </c>
      <c r="K881" s="9">
        <f t="shared" si="635"/>
        <v>0</v>
      </c>
    </row>
    <row r="882" spans="1:11" x14ac:dyDescent="0.25">
      <c r="A882" s="5">
        <v>5</v>
      </c>
      <c r="B882" s="6">
        <f t="shared" ref="B882:C882" si="642">B867</f>
        <v>5</v>
      </c>
      <c r="C882" s="6">
        <f t="shared" si="642"/>
        <v>3</v>
      </c>
      <c r="D882" s="8">
        <f>B882*B874+C882*C874+D874</f>
        <v>0.54666666666666131</v>
      </c>
      <c r="E882" s="6">
        <f t="shared" si="637"/>
        <v>1</v>
      </c>
      <c r="F882" s="6">
        <f>$F$12</f>
        <v>1</v>
      </c>
      <c r="G882" s="20" t="str">
        <f t="shared" si="638"/>
        <v>A</v>
      </c>
      <c r="H882" s="20" t="str">
        <f t="shared" si="639"/>
        <v>A</v>
      </c>
      <c r="I882" s="8">
        <f t="shared" si="633"/>
        <v>0</v>
      </c>
      <c r="J882" s="8">
        <f t="shared" si="634"/>
        <v>0</v>
      </c>
      <c r="K882" s="9">
        <f t="shared" si="635"/>
        <v>0</v>
      </c>
    </row>
    <row r="883" spans="1:11" x14ac:dyDescent="0.25">
      <c r="A883" s="5">
        <v>6</v>
      </c>
      <c r="B883" s="6">
        <f t="shared" ref="B883:C883" si="643">B868</f>
        <v>3</v>
      </c>
      <c r="C883" s="6">
        <f t="shared" si="643"/>
        <v>2</v>
      </c>
      <c r="D883" s="8">
        <f>B883*B874+C883*C874+D874</f>
        <v>-1.333333333333675E-2</v>
      </c>
      <c r="E883" s="6">
        <f t="shared" si="637"/>
        <v>-1</v>
      </c>
      <c r="F883" s="6">
        <f>$F$13</f>
        <v>-1</v>
      </c>
      <c r="G883" s="20" t="str">
        <f t="shared" si="638"/>
        <v>B</v>
      </c>
      <c r="H883" s="20" t="str">
        <f t="shared" si="639"/>
        <v>B</v>
      </c>
      <c r="I883" s="8">
        <f t="shared" si="633"/>
        <v>0</v>
      </c>
      <c r="J883" s="8">
        <f t="shared" si="634"/>
        <v>0</v>
      </c>
      <c r="K883" s="9">
        <f t="shared" si="635"/>
        <v>0</v>
      </c>
    </row>
    <row r="884" spans="1:11" x14ac:dyDescent="0.25">
      <c r="A884" s="5"/>
      <c r="B884" s="6"/>
      <c r="C884" s="6"/>
      <c r="D884" s="6"/>
      <c r="E884" s="6"/>
      <c r="F884" s="6"/>
      <c r="G884" s="20" t="s">
        <v>8</v>
      </c>
      <c r="H884" s="20"/>
      <c r="I884" s="8">
        <f>SUM(I878:I883)</f>
        <v>0</v>
      </c>
      <c r="J884" s="8">
        <f>AVERAGE(J878:J883)</f>
        <v>0</v>
      </c>
      <c r="K884" s="9">
        <f>AVERAGE(K878:K883)</f>
        <v>0</v>
      </c>
    </row>
    <row r="885" spans="1:11" x14ac:dyDescent="0.25">
      <c r="A885" s="5"/>
      <c r="B885" s="6"/>
      <c r="C885" s="6"/>
      <c r="D885" s="6"/>
      <c r="E885" s="6"/>
      <c r="F885" s="6"/>
      <c r="G885" s="20" t="s">
        <v>9</v>
      </c>
      <c r="H885" s="20"/>
      <c r="I885" s="8">
        <f>SUMSQ(I878:I883)</f>
        <v>0</v>
      </c>
      <c r="J885" s="10"/>
      <c r="K885" s="15"/>
    </row>
    <row r="886" spans="1:11" x14ac:dyDescent="0.25">
      <c r="A886" s="11"/>
      <c r="B886" s="12"/>
      <c r="C886" s="12"/>
      <c r="D886" s="12"/>
      <c r="E886" s="12"/>
      <c r="F886" s="12"/>
      <c r="G886" s="21"/>
      <c r="H886" s="21"/>
      <c r="I886" s="18"/>
      <c r="J886" s="13"/>
      <c r="K886" s="16"/>
    </row>
    <row r="887" spans="1:11" x14ac:dyDescent="0.25">
      <c r="A887" s="2" t="s">
        <v>13</v>
      </c>
      <c r="B887" s="3">
        <f>B872+1</f>
        <v>60</v>
      </c>
      <c r="C887" s="3"/>
      <c r="D887" s="3"/>
      <c r="E887" s="3"/>
      <c r="F887" s="3"/>
      <c r="G887" s="19"/>
      <c r="H887" s="19"/>
      <c r="I887" s="17"/>
      <c r="J887" s="3"/>
      <c r="K887" s="4"/>
    </row>
    <row r="888" spans="1:11" x14ac:dyDescent="0.25">
      <c r="A888" s="5"/>
      <c r="B888" s="6" t="s">
        <v>4</v>
      </c>
      <c r="C888" s="6" t="s">
        <v>5</v>
      </c>
      <c r="D888" s="6" t="s">
        <v>6</v>
      </c>
      <c r="E888" s="6"/>
      <c r="F888" s="6"/>
      <c r="G888" s="20"/>
      <c r="H888" s="20"/>
      <c r="I888" s="8"/>
      <c r="J888" s="6"/>
      <c r="K888" s="7"/>
    </row>
    <row r="889" spans="1:11" x14ac:dyDescent="0.25">
      <c r="A889" s="5">
        <v>1</v>
      </c>
      <c r="B889" s="14">
        <f>B874+J884</f>
        <v>0.13333333333333286</v>
      </c>
      <c r="C889" s="14">
        <f>C874+K884</f>
        <v>0.29333333333333234</v>
      </c>
      <c r="D889" s="6">
        <f>D874</f>
        <v>-1</v>
      </c>
      <c r="E889" s="6"/>
      <c r="F889" s="6"/>
      <c r="G889" s="20"/>
      <c r="H889" s="20"/>
      <c r="I889" s="8"/>
      <c r="J889" s="6"/>
      <c r="K889" s="7"/>
    </row>
    <row r="890" spans="1:11" x14ac:dyDescent="0.25">
      <c r="A890" s="5"/>
      <c r="B890" s="6"/>
      <c r="C890" s="6"/>
      <c r="D890" s="6"/>
      <c r="E890" s="6"/>
      <c r="F890" s="6"/>
      <c r="G890" s="20"/>
      <c r="H890" s="20"/>
      <c r="I890" s="8"/>
      <c r="J890" s="6"/>
      <c r="K890" s="7"/>
    </row>
    <row r="891" spans="1:11" x14ac:dyDescent="0.25">
      <c r="A891" s="5"/>
      <c r="B891" s="6"/>
      <c r="C891" s="6"/>
      <c r="D891" s="6"/>
      <c r="E891" s="6"/>
      <c r="F891" s="6"/>
      <c r="G891" s="20"/>
      <c r="H891" s="20"/>
      <c r="I891" s="8"/>
      <c r="J891" s="6"/>
      <c r="K891" s="7"/>
    </row>
    <row r="892" spans="1:11" x14ac:dyDescent="0.25">
      <c r="A892" s="5" t="s">
        <v>10</v>
      </c>
      <c r="B892" s="6" t="s">
        <v>2</v>
      </c>
      <c r="C892" s="6" t="s">
        <v>3</v>
      </c>
      <c r="D892" s="6" t="s">
        <v>0</v>
      </c>
      <c r="E892" s="6" t="s">
        <v>15</v>
      </c>
      <c r="F892" s="6" t="s">
        <v>1</v>
      </c>
      <c r="G892" s="20" t="s">
        <v>17</v>
      </c>
      <c r="H892" s="20" t="s">
        <v>16</v>
      </c>
      <c r="I892" s="8" t="s">
        <v>7</v>
      </c>
      <c r="J892" s="6" t="s">
        <v>11</v>
      </c>
      <c r="K892" s="7" t="s">
        <v>12</v>
      </c>
    </row>
    <row r="893" spans="1:11" x14ac:dyDescent="0.25">
      <c r="A893" s="5">
        <v>1</v>
      </c>
      <c r="B893" s="6">
        <f>B878</f>
        <v>4</v>
      </c>
      <c r="C893" s="6">
        <f>C878</f>
        <v>3</v>
      </c>
      <c r="D893" s="8">
        <f>B893*B889+C893*C889+D889</f>
        <v>0.41333333333332845</v>
      </c>
      <c r="E893" s="6">
        <f>IF(D893&gt;=0,$F$1,$E$1)</f>
        <v>1</v>
      </c>
      <c r="F893" s="6">
        <f>$F$8</f>
        <v>1</v>
      </c>
      <c r="G893" s="20" t="str">
        <f>IF(E893&gt;0,"A","B")</f>
        <v>A</v>
      </c>
      <c r="H893" s="20" t="str">
        <f>IF(F893&gt;0,"A","B")</f>
        <v>A</v>
      </c>
      <c r="I893" s="8">
        <f t="shared" ref="I893:I898" si="644">F893-E893</f>
        <v>0</v>
      </c>
      <c r="J893" s="8">
        <f t="shared" ref="J893:J898" si="645">$C$1*I893*B893</f>
        <v>0</v>
      </c>
      <c r="K893" s="9">
        <f t="shared" ref="K893:K898" si="646">$C$1*I893*C893</f>
        <v>0</v>
      </c>
    </row>
    <row r="894" spans="1:11" x14ac:dyDescent="0.25">
      <c r="A894" s="5">
        <v>2</v>
      </c>
      <c r="B894" s="6">
        <f t="shared" ref="B894:C894" si="647">B879</f>
        <v>1</v>
      </c>
      <c r="C894" s="6">
        <f t="shared" si="647"/>
        <v>1</v>
      </c>
      <c r="D894" s="8">
        <f>B894*B889+C894*C889+D889</f>
        <v>-0.5733333333333348</v>
      </c>
      <c r="E894" s="6">
        <f t="shared" ref="E894:E898" si="648">IF(D894&gt;=0,$F$1,$E$1)</f>
        <v>-1</v>
      </c>
      <c r="F894" s="6">
        <f>$F$9</f>
        <v>-1</v>
      </c>
      <c r="G894" s="20" t="str">
        <f t="shared" ref="G894:G898" si="649">IF(E894&gt;0,"A","B")</f>
        <v>B</v>
      </c>
      <c r="H894" s="20" t="str">
        <f t="shared" ref="H894:H898" si="650">IF(F894&gt;0,"A","B")</f>
        <v>B</v>
      </c>
      <c r="I894" s="8">
        <f t="shared" si="644"/>
        <v>0</v>
      </c>
      <c r="J894" s="8">
        <f t="shared" si="645"/>
        <v>0</v>
      </c>
      <c r="K894" s="9">
        <f t="shared" si="646"/>
        <v>0</v>
      </c>
    </row>
    <row r="895" spans="1:11" x14ac:dyDescent="0.25">
      <c r="A895" s="5">
        <v>3</v>
      </c>
      <c r="B895" s="6">
        <f t="shared" ref="B895:C895" si="651">B880</f>
        <v>2</v>
      </c>
      <c r="C895" s="6">
        <f t="shared" si="651"/>
        <v>2</v>
      </c>
      <c r="D895" s="8">
        <f>B895*B889+C895*C889+D889</f>
        <v>-0.14666666666666961</v>
      </c>
      <c r="E895" s="6">
        <f t="shared" si="648"/>
        <v>-1</v>
      </c>
      <c r="F895" s="6">
        <f>$F$10</f>
        <v>-1</v>
      </c>
      <c r="G895" s="20" t="str">
        <f t="shared" si="649"/>
        <v>B</v>
      </c>
      <c r="H895" s="20" t="str">
        <f t="shared" si="650"/>
        <v>B</v>
      </c>
      <c r="I895" s="8">
        <f t="shared" si="644"/>
        <v>0</v>
      </c>
      <c r="J895" s="8">
        <f t="shared" si="645"/>
        <v>0</v>
      </c>
      <c r="K895" s="9">
        <f t="shared" si="646"/>
        <v>0</v>
      </c>
    </row>
    <row r="896" spans="1:11" x14ac:dyDescent="0.25">
      <c r="A896" s="5">
        <v>4</v>
      </c>
      <c r="B896" s="6">
        <f t="shared" ref="B896:C896" si="652">B881</f>
        <v>2</v>
      </c>
      <c r="C896" s="6">
        <f t="shared" si="652"/>
        <v>3</v>
      </c>
      <c r="D896" s="8">
        <f>B896*B889+C896*C889+D889</f>
        <v>0.14666666666666273</v>
      </c>
      <c r="E896" s="6">
        <f t="shared" si="648"/>
        <v>1</v>
      </c>
      <c r="F896" s="6">
        <f>$F$11</f>
        <v>1</v>
      </c>
      <c r="G896" s="20" t="str">
        <f t="shared" si="649"/>
        <v>A</v>
      </c>
      <c r="H896" s="20" t="str">
        <f t="shared" si="650"/>
        <v>A</v>
      </c>
      <c r="I896" s="8">
        <f t="shared" si="644"/>
        <v>0</v>
      </c>
      <c r="J896" s="8">
        <f t="shared" si="645"/>
        <v>0</v>
      </c>
      <c r="K896" s="9">
        <f t="shared" si="646"/>
        <v>0</v>
      </c>
    </row>
    <row r="897" spans="1:11" x14ac:dyDescent="0.25">
      <c r="A897" s="5">
        <v>5</v>
      </c>
      <c r="B897" s="6">
        <f t="shared" ref="B897:C897" si="653">B882</f>
        <v>5</v>
      </c>
      <c r="C897" s="6">
        <f t="shared" si="653"/>
        <v>3</v>
      </c>
      <c r="D897" s="8">
        <f>B897*B889+C897*C889+D889</f>
        <v>0.54666666666666131</v>
      </c>
      <c r="E897" s="6">
        <f t="shared" si="648"/>
        <v>1</v>
      </c>
      <c r="F897" s="6">
        <f>$F$12</f>
        <v>1</v>
      </c>
      <c r="G897" s="20" t="str">
        <f t="shared" si="649"/>
        <v>A</v>
      </c>
      <c r="H897" s="20" t="str">
        <f t="shared" si="650"/>
        <v>A</v>
      </c>
      <c r="I897" s="8">
        <f t="shared" si="644"/>
        <v>0</v>
      </c>
      <c r="J897" s="8">
        <f t="shared" si="645"/>
        <v>0</v>
      </c>
      <c r="K897" s="9">
        <f t="shared" si="646"/>
        <v>0</v>
      </c>
    </row>
    <row r="898" spans="1:11" x14ac:dyDescent="0.25">
      <c r="A898" s="5">
        <v>6</v>
      </c>
      <c r="B898" s="6">
        <f t="shared" ref="B898:C898" si="654">B883</f>
        <v>3</v>
      </c>
      <c r="C898" s="6">
        <f t="shared" si="654"/>
        <v>2</v>
      </c>
      <c r="D898" s="8">
        <f>B898*B889+C898*C889+D889</f>
        <v>-1.333333333333675E-2</v>
      </c>
      <c r="E898" s="6">
        <f t="shared" si="648"/>
        <v>-1</v>
      </c>
      <c r="F898" s="6">
        <f>$F$13</f>
        <v>-1</v>
      </c>
      <c r="G898" s="20" t="str">
        <f t="shared" si="649"/>
        <v>B</v>
      </c>
      <c r="H898" s="20" t="str">
        <f t="shared" si="650"/>
        <v>B</v>
      </c>
      <c r="I898" s="8">
        <f t="shared" si="644"/>
        <v>0</v>
      </c>
      <c r="J898" s="8">
        <f t="shared" si="645"/>
        <v>0</v>
      </c>
      <c r="K898" s="9">
        <f t="shared" si="646"/>
        <v>0</v>
      </c>
    </row>
    <row r="899" spans="1:11" x14ac:dyDescent="0.25">
      <c r="A899" s="5"/>
      <c r="B899" s="6"/>
      <c r="C899" s="6"/>
      <c r="D899" s="6"/>
      <c r="E899" s="6"/>
      <c r="F899" s="6"/>
      <c r="G899" s="20" t="s">
        <v>8</v>
      </c>
      <c r="H899" s="20"/>
      <c r="I899" s="8">
        <f>SUM(I893:I898)</f>
        <v>0</v>
      </c>
      <c r="J899" s="8">
        <f>AVERAGE(J893:J898)</f>
        <v>0</v>
      </c>
      <c r="K899" s="9">
        <f>AVERAGE(K893:K898)</f>
        <v>0</v>
      </c>
    </row>
    <row r="900" spans="1:11" x14ac:dyDescent="0.25">
      <c r="A900" s="5"/>
      <c r="B900" s="6"/>
      <c r="C900" s="6"/>
      <c r="D900" s="6"/>
      <c r="E900" s="6"/>
      <c r="F900" s="6"/>
      <c r="G900" s="20" t="s">
        <v>9</v>
      </c>
      <c r="H900" s="20"/>
      <c r="I900" s="8">
        <f>SUMSQ(I893:I898)</f>
        <v>0</v>
      </c>
      <c r="J900" s="10"/>
      <c r="K900" s="15"/>
    </row>
    <row r="901" spans="1:11" x14ac:dyDescent="0.25">
      <c r="A901" s="11"/>
      <c r="B901" s="12"/>
      <c r="C901" s="12"/>
      <c r="D901" s="12"/>
      <c r="E901" s="12"/>
      <c r="F901" s="12"/>
      <c r="G901" s="21"/>
      <c r="H901" s="21"/>
      <c r="I901" s="18"/>
      <c r="J901" s="13"/>
      <c r="K901" s="16"/>
    </row>
    <row r="902" spans="1:11" x14ac:dyDescent="0.25">
      <c r="A902" s="2" t="s">
        <v>13</v>
      </c>
      <c r="B902" s="3">
        <f>B887+1</f>
        <v>61</v>
      </c>
      <c r="C902" s="3"/>
      <c r="D902" s="3"/>
      <c r="E902" s="3"/>
      <c r="F902" s="3"/>
      <c r="G902" s="19"/>
      <c r="H902" s="19"/>
      <c r="I902" s="17"/>
      <c r="J902" s="3"/>
      <c r="K902" s="4"/>
    </row>
    <row r="903" spans="1:11" x14ac:dyDescent="0.25">
      <c r="A903" s="5"/>
      <c r="B903" s="6" t="s">
        <v>4</v>
      </c>
      <c r="C903" s="6" t="s">
        <v>5</v>
      </c>
      <c r="D903" s="6" t="s">
        <v>6</v>
      </c>
      <c r="E903" s="6"/>
      <c r="F903" s="6"/>
      <c r="G903" s="20"/>
      <c r="H903" s="20"/>
      <c r="I903" s="8"/>
      <c r="J903" s="6"/>
      <c r="K903" s="7"/>
    </row>
    <row r="904" spans="1:11" x14ac:dyDescent="0.25">
      <c r="A904" s="5">
        <v>1</v>
      </c>
      <c r="B904" s="14">
        <f>B889+J899</f>
        <v>0.13333333333333286</v>
      </c>
      <c r="C904" s="14">
        <f>C889+K899</f>
        <v>0.29333333333333234</v>
      </c>
      <c r="D904" s="6">
        <f>D889</f>
        <v>-1</v>
      </c>
      <c r="E904" s="6"/>
      <c r="F904" s="6"/>
      <c r="G904" s="20"/>
      <c r="H904" s="20"/>
      <c r="I904" s="8"/>
      <c r="J904" s="6"/>
      <c r="K904" s="7"/>
    </row>
    <row r="905" spans="1:11" x14ac:dyDescent="0.25">
      <c r="A905" s="5"/>
      <c r="B905" s="6"/>
      <c r="C905" s="6"/>
      <c r="D905" s="6"/>
      <c r="E905" s="6"/>
      <c r="F905" s="6"/>
      <c r="G905" s="20"/>
      <c r="H905" s="20"/>
      <c r="I905" s="8"/>
      <c r="J905" s="6"/>
      <c r="K905" s="7"/>
    </row>
    <row r="906" spans="1:11" x14ac:dyDescent="0.25">
      <c r="A906" s="5"/>
      <c r="B906" s="6"/>
      <c r="C906" s="6"/>
      <c r="D906" s="6"/>
      <c r="E906" s="6"/>
      <c r="F906" s="6"/>
      <c r="G906" s="20"/>
      <c r="H906" s="20"/>
      <c r="I906" s="8"/>
      <c r="J906" s="6"/>
      <c r="K906" s="7"/>
    </row>
    <row r="907" spans="1:11" x14ac:dyDescent="0.25">
      <c r="A907" s="5" t="s">
        <v>10</v>
      </c>
      <c r="B907" s="6" t="s">
        <v>2</v>
      </c>
      <c r="C907" s="6" t="s">
        <v>3</v>
      </c>
      <c r="D907" s="6" t="s">
        <v>0</v>
      </c>
      <c r="E907" s="6" t="s">
        <v>15</v>
      </c>
      <c r="F907" s="6" t="s">
        <v>1</v>
      </c>
      <c r="G907" s="20" t="s">
        <v>17</v>
      </c>
      <c r="H907" s="20" t="s">
        <v>16</v>
      </c>
      <c r="I907" s="8" t="s">
        <v>7</v>
      </c>
      <c r="J907" s="6" t="s">
        <v>11</v>
      </c>
      <c r="K907" s="7" t="s">
        <v>12</v>
      </c>
    </row>
    <row r="908" spans="1:11" x14ac:dyDescent="0.25">
      <c r="A908" s="5">
        <v>1</v>
      </c>
      <c r="B908" s="6">
        <f>B893</f>
        <v>4</v>
      </c>
      <c r="C908" s="6">
        <f>C893</f>
        <v>3</v>
      </c>
      <c r="D908" s="8">
        <f>B908*B904+C908*C904+D904</f>
        <v>0.41333333333332845</v>
      </c>
      <c r="E908" s="6">
        <f>IF(D908&gt;=0,$F$1,$E$1)</f>
        <v>1</v>
      </c>
      <c r="F908" s="6">
        <f>$F$8</f>
        <v>1</v>
      </c>
      <c r="G908" s="20" t="str">
        <f>IF(E908&gt;0,"A","B")</f>
        <v>A</v>
      </c>
      <c r="H908" s="20" t="str">
        <f>IF(F908&gt;0,"A","B")</f>
        <v>A</v>
      </c>
      <c r="I908" s="8">
        <f t="shared" ref="I908:I913" si="655">F908-E908</f>
        <v>0</v>
      </c>
      <c r="J908" s="8">
        <f t="shared" ref="J908:J913" si="656">$C$1*I908*B908</f>
        <v>0</v>
      </c>
      <c r="K908" s="9">
        <f t="shared" ref="K908:K913" si="657">$C$1*I908*C908</f>
        <v>0</v>
      </c>
    </row>
    <row r="909" spans="1:11" x14ac:dyDescent="0.25">
      <c r="A909" s="5">
        <v>2</v>
      </c>
      <c r="B909" s="6">
        <f t="shared" ref="B909:C909" si="658">B894</f>
        <v>1</v>
      </c>
      <c r="C909" s="6">
        <f t="shared" si="658"/>
        <v>1</v>
      </c>
      <c r="D909" s="8">
        <f>B909*B904+C909*C904+D904</f>
        <v>-0.5733333333333348</v>
      </c>
      <c r="E909" s="6">
        <f t="shared" ref="E909:E913" si="659">IF(D909&gt;=0,$F$1,$E$1)</f>
        <v>-1</v>
      </c>
      <c r="F909" s="6">
        <f>$F$9</f>
        <v>-1</v>
      </c>
      <c r="G909" s="20" t="str">
        <f t="shared" ref="G909:G913" si="660">IF(E909&gt;0,"A","B")</f>
        <v>B</v>
      </c>
      <c r="H909" s="20" t="str">
        <f t="shared" ref="H909:H913" si="661">IF(F909&gt;0,"A","B")</f>
        <v>B</v>
      </c>
      <c r="I909" s="8">
        <f t="shared" si="655"/>
        <v>0</v>
      </c>
      <c r="J909" s="8">
        <f t="shared" si="656"/>
        <v>0</v>
      </c>
      <c r="K909" s="9">
        <f t="shared" si="657"/>
        <v>0</v>
      </c>
    </row>
    <row r="910" spans="1:11" x14ac:dyDescent="0.25">
      <c r="A910" s="5">
        <v>3</v>
      </c>
      <c r="B910" s="6">
        <f t="shared" ref="B910:C910" si="662">B895</f>
        <v>2</v>
      </c>
      <c r="C910" s="6">
        <f t="shared" si="662"/>
        <v>2</v>
      </c>
      <c r="D910" s="8">
        <f>B910*B904+C910*C904+D904</f>
        <v>-0.14666666666666961</v>
      </c>
      <c r="E910" s="6">
        <f t="shared" si="659"/>
        <v>-1</v>
      </c>
      <c r="F910" s="6">
        <f>$F$10</f>
        <v>-1</v>
      </c>
      <c r="G910" s="20" t="str">
        <f t="shared" si="660"/>
        <v>B</v>
      </c>
      <c r="H910" s="20" t="str">
        <f t="shared" si="661"/>
        <v>B</v>
      </c>
      <c r="I910" s="8">
        <f t="shared" si="655"/>
        <v>0</v>
      </c>
      <c r="J910" s="8">
        <f t="shared" si="656"/>
        <v>0</v>
      </c>
      <c r="K910" s="9">
        <f t="shared" si="657"/>
        <v>0</v>
      </c>
    </row>
    <row r="911" spans="1:11" x14ac:dyDescent="0.25">
      <c r="A911" s="5">
        <v>4</v>
      </c>
      <c r="B911" s="6">
        <f t="shared" ref="B911:C911" si="663">B896</f>
        <v>2</v>
      </c>
      <c r="C911" s="6">
        <f t="shared" si="663"/>
        <v>3</v>
      </c>
      <c r="D911" s="8">
        <f>B911*B904+C911*C904+D904</f>
        <v>0.14666666666666273</v>
      </c>
      <c r="E911" s="6">
        <f t="shared" si="659"/>
        <v>1</v>
      </c>
      <c r="F911" s="6">
        <f>$F$11</f>
        <v>1</v>
      </c>
      <c r="G911" s="20" t="str">
        <f t="shared" si="660"/>
        <v>A</v>
      </c>
      <c r="H911" s="20" t="str">
        <f t="shared" si="661"/>
        <v>A</v>
      </c>
      <c r="I911" s="8">
        <f t="shared" si="655"/>
        <v>0</v>
      </c>
      <c r="J911" s="8">
        <f t="shared" si="656"/>
        <v>0</v>
      </c>
      <c r="K911" s="9">
        <f t="shared" si="657"/>
        <v>0</v>
      </c>
    </row>
    <row r="912" spans="1:11" x14ac:dyDescent="0.25">
      <c r="A912" s="5">
        <v>5</v>
      </c>
      <c r="B912" s="6">
        <f t="shared" ref="B912:C912" si="664">B897</f>
        <v>5</v>
      </c>
      <c r="C912" s="6">
        <f t="shared" si="664"/>
        <v>3</v>
      </c>
      <c r="D912" s="8">
        <f>B912*B904+C912*C904+D904</f>
        <v>0.54666666666666131</v>
      </c>
      <c r="E912" s="6">
        <f t="shared" si="659"/>
        <v>1</v>
      </c>
      <c r="F912" s="6">
        <f>$F$12</f>
        <v>1</v>
      </c>
      <c r="G912" s="20" t="str">
        <f t="shared" si="660"/>
        <v>A</v>
      </c>
      <c r="H912" s="20" t="str">
        <f t="shared" si="661"/>
        <v>A</v>
      </c>
      <c r="I912" s="8">
        <f t="shared" si="655"/>
        <v>0</v>
      </c>
      <c r="J912" s="8">
        <f t="shared" si="656"/>
        <v>0</v>
      </c>
      <c r="K912" s="9">
        <f t="shared" si="657"/>
        <v>0</v>
      </c>
    </row>
    <row r="913" spans="1:11" x14ac:dyDescent="0.25">
      <c r="A913" s="5">
        <v>6</v>
      </c>
      <c r="B913" s="6">
        <f t="shared" ref="B913:C913" si="665">B898</f>
        <v>3</v>
      </c>
      <c r="C913" s="6">
        <f t="shared" si="665"/>
        <v>2</v>
      </c>
      <c r="D913" s="8">
        <f>B913*B904+C913*C904+D904</f>
        <v>-1.333333333333675E-2</v>
      </c>
      <c r="E913" s="6">
        <f t="shared" si="659"/>
        <v>-1</v>
      </c>
      <c r="F913" s="6">
        <f>$F$13</f>
        <v>-1</v>
      </c>
      <c r="G913" s="20" t="str">
        <f t="shared" si="660"/>
        <v>B</v>
      </c>
      <c r="H913" s="20" t="str">
        <f t="shared" si="661"/>
        <v>B</v>
      </c>
      <c r="I913" s="8">
        <f t="shared" si="655"/>
        <v>0</v>
      </c>
      <c r="J913" s="8">
        <f t="shared" si="656"/>
        <v>0</v>
      </c>
      <c r="K913" s="9">
        <f t="shared" si="657"/>
        <v>0</v>
      </c>
    </row>
    <row r="914" spans="1:11" x14ac:dyDescent="0.25">
      <c r="A914" s="5"/>
      <c r="B914" s="6"/>
      <c r="C914" s="6"/>
      <c r="D914" s="6"/>
      <c r="E914" s="6"/>
      <c r="F914" s="6"/>
      <c r="G914" s="20" t="s">
        <v>8</v>
      </c>
      <c r="H914" s="20"/>
      <c r="I914" s="8">
        <f>SUM(I908:I913)</f>
        <v>0</v>
      </c>
      <c r="J914" s="8">
        <f>AVERAGE(J908:J913)</f>
        <v>0</v>
      </c>
      <c r="K914" s="9">
        <f>AVERAGE(K908:K913)</f>
        <v>0</v>
      </c>
    </row>
    <row r="915" spans="1:11" x14ac:dyDescent="0.25">
      <c r="A915" s="5"/>
      <c r="B915" s="6"/>
      <c r="C915" s="6"/>
      <c r="D915" s="6"/>
      <c r="E915" s="6"/>
      <c r="F915" s="6"/>
      <c r="G915" s="20" t="s">
        <v>9</v>
      </c>
      <c r="H915" s="20"/>
      <c r="I915" s="8">
        <f>SUMSQ(I908:I913)</f>
        <v>0</v>
      </c>
      <c r="J915" s="10"/>
      <c r="K915" s="15"/>
    </row>
    <row r="916" spans="1:11" x14ac:dyDescent="0.25">
      <c r="A916" s="11"/>
      <c r="B916" s="12"/>
      <c r="C916" s="12"/>
      <c r="D916" s="12"/>
      <c r="E916" s="12"/>
      <c r="F916" s="12"/>
      <c r="G916" s="21"/>
      <c r="H916" s="21"/>
      <c r="I916" s="18"/>
      <c r="J916" s="13"/>
      <c r="K916" s="16"/>
    </row>
    <row r="917" spans="1:11" x14ac:dyDescent="0.25">
      <c r="A917" s="2" t="s">
        <v>13</v>
      </c>
      <c r="B917" s="3">
        <f>B902+1</f>
        <v>62</v>
      </c>
      <c r="C917" s="3"/>
      <c r="D917" s="3"/>
      <c r="E917" s="3"/>
      <c r="F917" s="3"/>
      <c r="G917" s="19"/>
      <c r="H917" s="19"/>
      <c r="I917" s="17"/>
      <c r="J917" s="3"/>
      <c r="K917" s="4"/>
    </row>
    <row r="918" spans="1:11" x14ac:dyDescent="0.25">
      <c r="A918" s="5"/>
      <c r="B918" s="6" t="s">
        <v>4</v>
      </c>
      <c r="C918" s="6" t="s">
        <v>5</v>
      </c>
      <c r="D918" s="6" t="s">
        <v>6</v>
      </c>
      <c r="E918" s="6"/>
      <c r="F918" s="6"/>
      <c r="G918" s="20"/>
      <c r="H918" s="20"/>
      <c r="I918" s="8"/>
      <c r="J918" s="6"/>
      <c r="K918" s="7"/>
    </row>
    <row r="919" spans="1:11" x14ac:dyDescent="0.25">
      <c r="A919" s="5">
        <v>1</v>
      </c>
      <c r="B919" s="14">
        <f>B904+J914</f>
        <v>0.13333333333333286</v>
      </c>
      <c r="C919" s="14">
        <f>C904+K914</f>
        <v>0.29333333333333234</v>
      </c>
      <c r="D919" s="6">
        <f>D904</f>
        <v>-1</v>
      </c>
      <c r="E919" s="6"/>
      <c r="F919" s="6"/>
      <c r="G919" s="20"/>
      <c r="H919" s="20"/>
      <c r="I919" s="8"/>
      <c r="J919" s="6"/>
      <c r="K919" s="7"/>
    </row>
    <row r="920" spans="1:11" x14ac:dyDescent="0.25">
      <c r="A920" s="5"/>
      <c r="B920" s="6"/>
      <c r="C920" s="6"/>
      <c r="D920" s="6"/>
      <c r="E920" s="6"/>
      <c r="F920" s="6"/>
      <c r="G920" s="20"/>
      <c r="H920" s="20"/>
      <c r="I920" s="8"/>
      <c r="J920" s="6"/>
      <c r="K920" s="7"/>
    </row>
    <row r="921" spans="1:11" x14ac:dyDescent="0.25">
      <c r="A921" s="5"/>
      <c r="B921" s="6"/>
      <c r="C921" s="6"/>
      <c r="D921" s="6"/>
      <c r="E921" s="6"/>
      <c r="F921" s="6"/>
      <c r="G921" s="20"/>
      <c r="H921" s="20"/>
      <c r="I921" s="8"/>
      <c r="J921" s="6"/>
      <c r="K921" s="7"/>
    </row>
    <row r="922" spans="1:11" x14ac:dyDescent="0.25">
      <c r="A922" s="5" t="s">
        <v>10</v>
      </c>
      <c r="B922" s="6" t="s">
        <v>2</v>
      </c>
      <c r="C922" s="6" t="s">
        <v>3</v>
      </c>
      <c r="D922" s="6" t="s">
        <v>0</v>
      </c>
      <c r="E922" s="6" t="s">
        <v>15</v>
      </c>
      <c r="F922" s="6" t="s">
        <v>1</v>
      </c>
      <c r="G922" s="20" t="s">
        <v>17</v>
      </c>
      <c r="H922" s="20" t="s">
        <v>16</v>
      </c>
      <c r="I922" s="8" t="s">
        <v>7</v>
      </c>
      <c r="J922" s="6" t="s">
        <v>11</v>
      </c>
      <c r="K922" s="7" t="s">
        <v>12</v>
      </c>
    </row>
    <row r="923" spans="1:11" x14ac:dyDescent="0.25">
      <c r="A923" s="5">
        <v>1</v>
      </c>
      <c r="B923" s="6">
        <f>B908</f>
        <v>4</v>
      </c>
      <c r="C923" s="6">
        <f>C908</f>
        <v>3</v>
      </c>
      <c r="D923" s="8">
        <f>B923*B919+C923*C919+D919</f>
        <v>0.41333333333332845</v>
      </c>
      <c r="E923" s="6">
        <f>IF(D923&gt;=0,$F$1,$E$1)</f>
        <v>1</v>
      </c>
      <c r="F923" s="6">
        <f>$F$8</f>
        <v>1</v>
      </c>
      <c r="G923" s="20" t="str">
        <f>IF(E923&gt;0,"A","B")</f>
        <v>A</v>
      </c>
      <c r="H923" s="20" t="str">
        <f>IF(F923&gt;0,"A","B")</f>
        <v>A</v>
      </c>
      <c r="I923" s="8">
        <f t="shared" ref="I923:I928" si="666">F923-E923</f>
        <v>0</v>
      </c>
      <c r="J923" s="8">
        <f t="shared" ref="J923:J928" si="667">$C$1*I923*B923</f>
        <v>0</v>
      </c>
      <c r="K923" s="9">
        <f t="shared" ref="K923:K928" si="668">$C$1*I923*C923</f>
        <v>0</v>
      </c>
    </row>
    <row r="924" spans="1:11" x14ac:dyDescent="0.25">
      <c r="A924" s="5">
        <v>2</v>
      </c>
      <c r="B924" s="6">
        <f t="shared" ref="B924:C924" si="669">B909</f>
        <v>1</v>
      </c>
      <c r="C924" s="6">
        <f t="shared" si="669"/>
        <v>1</v>
      </c>
      <c r="D924" s="8">
        <f>B924*B919+C924*C919+D919</f>
        <v>-0.5733333333333348</v>
      </c>
      <c r="E924" s="6">
        <f t="shared" ref="E924:E928" si="670">IF(D924&gt;=0,$F$1,$E$1)</f>
        <v>-1</v>
      </c>
      <c r="F924" s="6">
        <f>$F$9</f>
        <v>-1</v>
      </c>
      <c r="G924" s="20" t="str">
        <f t="shared" ref="G924:G928" si="671">IF(E924&gt;0,"A","B")</f>
        <v>B</v>
      </c>
      <c r="H924" s="20" t="str">
        <f t="shared" ref="H924:H928" si="672">IF(F924&gt;0,"A","B")</f>
        <v>B</v>
      </c>
      <c r="I924" s="8">
        <f t="shared" si="666"/>
        <v>0</v>
      </c>
      <c r="J924" s="8">
        <f t="shared" si="667"/>
        <v>0</v>
      </c>
      <c r="K924" s="9">
        <f t="shared" si="668"/>
        <v>0</v>
      </c>
    </row>
    <row r="925" spans="1:11" x14ac:dyDescent="0.25">
      <c r="A925" s="5">
        <v>3</v>
      </c>
      <c r="B925" s="6">
        <f t="shared" ref="B925:C925" si="673">B910</f>
        <v>2</v>
      </c>
      <c r="C925" s="6">
        <f t="shared" si="673"/>
        <v>2</v>
      </c>
      <c r="D925" s="8">
        <f>B925*B919+C925*C919+D919</f>
        <v>-0.14666666666666961</v>
      </c>
      <c r="E925" s="6">
        <f t="shared" si="670"/>
        <v>-1</v>
      </c>
      <c r="F925" s="6">
        <f>$F$10</f>
        <v>-1</v>
      </c>
      <c r="G925" s="20" t="str">
        <f t="shared" si="671"/>
        <v>B</v>
      </c>
      <c r="H925" s="20" t="str">
        <f t="shared" si="672"/>
        <v>B</v>
      </c>
      <c r="I925" s="8">
        <f t="shared" si="666"/>
        <v>0</v>
      </c>
      <c r="J925" s="8">
        <f t="shared" si="667"/>
        <v>0</v>
      </c>
      <c r="K925" s="9">
        <f t="shared" si="668"/>
        <v>0</v>
      </c>
    </row>
    <row r="926" spans="1:11" x14ac:dyDescent="0.25">
      <c r="A926" s="5">
        <v>4</v>
      </c>
      <c r="B926" s="6">
        <f t="shared" ref="B926:C926" si="674">B911</f>
        <v>2</v>
      </c>
      <c r="C926" s="6">
        <f t="shared" si="674"/>
        <v>3</v>
      </c>
      <c r="D926" s="8">
        <f>B926*B919+C926*C919+D919</f>
        <v>0.14666666666666273</v>
      </c>
      <c r="E926" s="6">
        <f t="shared" si="670"/>
        <v>1</v>
      </c>
      <c r="F926" s="6">
        <f>$F$11</f>
        <v>1</v>
      </c>
      <c r="G926" s="20" t="str">
        <f t="shared" si="671"/>
        <v>A</v>
      </c>
      <c r="H926" s="20" t="str">
        <f t="shared" si="672"/>
        <v>A</v>
      </c>
      <c r="I926" s="8">
        <f t="shared" si="666"/>
        <v>0</v>
      </c>
      <c r="J926" s="8">
        <f t="shared" si="667"/>
        <v>0</v>
      </c>
      <c r="K926" s="9">
        <f t="shared" si="668"/>
        <v>0</v>
      </c>
    </row>
    <row r="927" spans="1:11" x14ac:dyDescent="0.25">
      <c r="A927" s="5">
        <v>5</v>
      </c>
      <c r="B927" s="6">
        <f t="shared" ref="B927:C927" si="675">B912</f>
        <v>5</v>
      </c>
      <c r="C927" s="6">
        <f t="shared" si="675"/>
        <v>3</v>
      </c>
      <c r="D927" s="8">
        <f>B927*B919+C927*C919+D919</f>
        <v>0.54666666666666131</v>
      </c>
      <c r="E927" s="6">
        <f t="shared" si="670"/>
        <v>1</v>
      </c>
      <c r="F927" s="6">
        <f>$F$12</f>
        <v>1</v>
      </c>
      <c r="G927" s="20" t="str">
        <f t="shared" si="671"/>
        <v>A</v>
      </c>
      <c r="H927" s="20" t="str">
        <f t="shared" si="672"/>
        <v>A</v>
      </c>
      <c r="I927" s="8">
        <f t="shared" si="666"/>
        <v>0</v>
      </c>
      <c r="J927" s="8">
        <f t="shared" si="667"/>
        <v>0</v>
      </c>
      <c r="K927" s="9">
        <f t="shared" si="668"/>
        <v>0</v>
      </c>
    </row>
    <row r="928" spans="1:11" x14ac:dyDescent="0.25">
      <c r="A928" s="5">
        <v>6</v>
      </c>
      <c r="B928" s="6">
        <f t="shared" ref="B928:C928" si="676">B913</f>
        <v>3</v>
      </c>
      <c r="C928" s="6">
        <f t="shared" si="676"/>
        <v>2</v>
      </c>
      <c r="D928" s="8">
        <f>B928*B919+C928*C919+D919</f>
        <v>-1.333333333333675E-2</v>
      </c>
      <c r="E928" s="6">
        <f t="shared" si="670"/>
        <v>-1</v>
      </c>
      <c r="F928" s="6">
        <f>$F$13</f>
        <v>-1</v>
      </c>
      <c r="G928" s="20" t="str">
        <f t="shared" si="671"/>
        <v>B</v>
      </c>
      <c r="H928" s="20" t="str">
        <f t="shared" si="672"/>
        <v>B</v>
      </c>
      <c r="I928" s="8">
        <f t="shared" si="666"/>
        <v>0</v>
      </c>
      <c r="J928" s="8">
        <f t="shared" si="667"/>
        <v>0</v>
      </c>
      <c r="K928" s="9">
        <f t="shared" si="668"/>
        <v>0</v>
      </c>
    </row>
    <row r="929" spans="1:11" x14ac:dyDescent="0.25">
      <c r="A929" s="5"/>
      <c r="B929" s="6"/>
      <c r="C929" s="6"/>
      <c r="D929" s="6"/>
      <c r="E929" s="6"/>
      <c r="F929" s="6"/>
      <c r="G929" s="20" t="s">
        <v>8</v>
      </c>
      <c r="H929" s="20"/>
      <c r="I929" s="8">
        <f>SUM(I923:I928)</f>
        <v>0</v>
      </c>
      <c r="J929" s="8">
        <f>AVERAGE(J923:J928)</f>
        <v>0</v>
      </c>
      <c r="K929" s="9">
        <f>AVERAGE(K923:K928)</f>
        <v>0</v>
      </c>
    </row>
    <row r="930" spans="1:11" x14ac:dyDescent="0.25">
      <c r="A930" s="5"/>
      <c r="B930" s="6"/>
      <c r="C930" s="6"/>
      <c r="D930" s="6"/>
      <c r="E930" s="6"/>
      <c r="F930" s="6"/>
      <c r="G930" s="20" t="s">
        <v>9</v>
      </c>
      <c r="H930" s="20"/>
      <c r="I930" s="8">
        <f>SUMSQ(I923:I928)</f>
        <v>0</v>
      </c>
      <c r="J930" s="10"/>
      <c r="K930" s="15"/>
    </row>
    <row r="931" spans="1:11" x14ac:dyDescent="0.25">
      <c r="A931" s="11"/>
      <c r="B931" s="12"/>
      <c r="C931" s="12"/>
      <c r="D931" s="12"/>
      <c r="E931" s="12"/>
      <c r="F931" s="12"/>
      <c r="G931" s="21"/>
      <c r="H931" s="21"/>
      <c r="I931" s="18"/>
      <c r="J931" s="13"/>
      <c r="K931" s="16"/>
    </row>
    <row r="932" spans="1:11" x14ac:dyDescent="0.25">
      <c r="A932" s="2" t="s">
        <v>13</v>
      </c>
      <c r="B932" s="3">
        <f>B917+1</f>
        <v>63</v>
      </c>
      <c r="C932" s="3"/>
      <c r="D932" s="3"/>
      <c r="E932" s="3"/>
      <c r="F932" s="3"/>
      <c r="G932" s="19"/>
      <c r="H932" s="19"/>
      <c r="I932" s="17"/>
      <c r="J932" s="3"/>
      <c r="K932" s="4"/>
    </row>
    <row r="933" spans="1:11" x14ac:dyDescent="0.25">
      <c r="A933" s="5"/>
      <c r="B933" s="6" t="s">
        <v>4</v>
      </c>
      <c r="C933" s="6" t="s">
        <v>5</v>
      </c>
      <c r="D933" s="6" t="s">
        <v>6</v>
      </c>
      <c r="E933" s="6"/>
      <c r="F933" s="6"/>
      <c r="G933" s="20"/>
      <c r="H933" s="20"/>
      <c r="I933" s="8"/>
      <c r="J933" s="6"/>
      <c r="K933" s="7"/>
    </row>
    <row r="934" spans="1:11" x14ac:dyDescent="0.25">
      <c r="A934" s="5">
        <v>1</v>
      </c>
      <c r="B934" s="14">
        <f>B919+J929</f>
        <v>0.13333333333333286</v>
      </c>
      <c r="C934" s="14">
        <f>C919+K929</f>
        <v>0.29333333333333234</v>
      </c>
      <c r="D934" s="6">
        <f>D919</f>
        <v>-1</v>
      </c>
      <c r="E934" s="6"/>
      <c r="F934" s="6"/>
      <c r="G934" s="20"/>
      <c r="H934" s="20"/>
      <c r="I934" s="8"/>
      <c r="J934" s="6"/>
      <c r="K934" s="7"/>
    </row>
    <row r="935" spans="1:11" x14ac:dyDescent="0.25">
      <c r="A935" s="5"/>
      <c r="B935" s="6"/>
      <c r="C935" s="6"/>
      <c r="D935" s="6"/>
      <c r="E935" s="6"/>
      <c r="F935" s="6"/>
      <c r="G935" s="20"/>
      <c r="H935" s="20"/>
      <c r="I935" s="8"/>
      <c r="J935" s="6"/>
      <c r="K935" s="7"/>
    </row>
    <row r="936" spans="1:11" x14ac:dyDescent="0.25">
      <c r="A936" s="5"/>
      <c r="B936" s="6"/>
      <c r="C936" s="6"/>
      <c r="D936" s="6"/>
      <c r="E936" s="6"/>
      <c r="F936" s="6"/>
      <c r="G936" s="20"/>
      <c r="H936" s="20"/>
      <c r="I936" s="8"/>
      <c r="J936" s="6"/>
      <c r="K936" s="7"/>
    </row>
    <row r="937" spans="1:11" x14ac:dyDescent="0.25">
      <c r="A937" s="5" t="s">
        <v>10</v>
      </c>
      <c r="B937" s="6" t="s">
        <v>2</v>
      </c>
      <c r="C937" s="6" t="s">
        <v>3</v>
      </c>
      <c r="D937" s="6" t="s">
        <v>0</v>
      </c>
      <c r="E937" s="6" t="s">
        <v>15</v>
      </c>
      <c r="F937" s="6" t="s">
        <v>1</v>
      </c>
      <c r="G937" s="20" t="s">
        <v>17</v>
      </c>
      <c r="H937" s="20" t="s">
        <v>16</v>
      </c>
      <c r="I937" s="8" t="s">
        <v>7</v>
      </c>
      <c r="J937" s="6" t="s">
        <v>11</v>
      </c>
      <c r="K937" s="7" t="s">
        <v>12</v>
      </c>
    </row>
    <row r="938" spans="1:11" x14ac:dyDescent="0.25">
      <c r="A938" s="5">
        <v>1</v>
      </c>
      <c r="B938" s="6">
        <f>B923</f>
        <v>4</v>
      </c>
      <c r="C938" s="6">
        <f>C923</f>
        <v>3</v>
      </c>
      <c r="D938" s="8">
        <f>B938*B934+C938*C934+D934</f>
        <v>0.41333333333332845</v>
      </c>
      <c r="E938" s="6">
        <f>IF(D938&gt;=0,$F$1,$E$1)</f>
        <v>1</v>
      </c>
      <c r="F938" s="6">
        <f>$F$8</f>
        <v>1</v>
      </c>
      <c r="G938" s="20" t="str">
        <f>IF(E938&gt;0,"A","B")</f>
        <v>A</v>
      </c>
      <c r="H938" s="20" t="str">
        <f>IF(F938&gt;0,"A","B")</f>
        <v>A</v>
      </c>
      <c r="I938" s="8">
        <f t="shared" ref="I938:I943" si="677">F938-E938</f>
        <v>0</v>
      </c>
      <c r="J938" s="8">
        <f t="shared" ref="J938:J943" si="678">$C$1*I938*B938</f>
        <v>0</v>
      </c>
      <c r="K938" s="9">
        <f t="shared" ref="K938:K943" si="679">$C$1*I938*C938</f>
        <v>0</v>
      </c>
    </row>
    <row r="939" spans="1:11" x14ac:dyDescent="0.25">
      <c r="A939" s="5">
        <v>2</v>
      </c>
      <c r="B939" s="6">
        <f t="shared" ref="B939:C939" si="680">B924</f>
        <v>1</v>
      </c>
      <c r="C939" s="6">
        <f t="shared" si="680"/>
        <v>1</v>
      </c>
      <c r="D939" s="8">
        <f>B939*B934+C939*C934+D934</f>
        <v>-0.5733333333333348</v>
      </c>
      <c r="E939" s="6">
        <f t="shared" ref="E939:E943" si="681">IF(D939&gt;=0,$F$1,$E$1)</f>
        <v>-1</v>
      </c>
      <c r="F939" s="6">
        <f>$F$9</f>
        <v>-1</v>
      </c>
      <c r="G939" s="20" t="str">
        <f t="shared" ref="G939:G943" si="682">IF(E939&gt;0,"A","B")</f>
        <v>B</v>
      </c>
      <c r="H939" s="20" t="str">
        <f t="shared" ref="H939:H943" si="683">IF(F939&gt;0,"A","B")</f>
        <v>B</v>
      </c>
      <c r="I939" s="8">
        <f t="shared" si="677"/>
        <v>0</v>
      </c>
      <c r="J939" s="8">
        <f t="shared" si="678"/>
        <v>0</v>
      </c>
      <c r="K939" s="9">
        <f t="shared" si="679"/>
        <v>0</v>
      </c>
    </row>
    <row r="940" spans="1:11" x14ac:dyDescent="0.25">
      <c r="A940" s="5">
        <v>3</v>
      </c>
      <c r="B940" s="6">
        <f t="shared" ref="B940:C940" si="684">B925</f>
        <v>2</v>
      </c>
      <c r="C940" s="6">
        <f t="shared" si="684"/>
        <v>2</v>
      </c>
      <c r="D940" s="8">
        <f>B940*B934+C940*C934+D934</f>
        <v>-0.14666666666666961</v>
      </c>
      <c r="E940" s="6">
        <f t="shared" si="681"/>
        <v>-1</v>
      </c>
      <c r="F940" s="6">
        <f>$F$10</f>
        <v>-1</v>
      </c>
      <c r="G940" s="20" t="str">
        <f t="shared" si="682"/>
        <v>B</v>
      </c>
      <c r="H940" s="20" t="str">
        <f t="shared" si="683"/>
        <v>B</v>
      </c>
      <c r="I940" s="8">
        <f t="shared" si="677"/>
        <v>0</v>
      </c>
      <c r="J940" s="8">
        <f t="shared" si="678"/>
        <v>0</v>
      </c>
      <c r="K940" s="9">
        <f t="shared" si="679"/>
        <v>0</v>
      </c>
    </row>
    <row r="941" spans="1:11" x14ac:dyDescent="0.25">
      <c r="A941" s="5">
        <v>4</v>
      </c>
      <c r="B941" s="6">
        <f t="shared" ref="B941:C941" si="685">B926</f>
        <v>2</v>
      </c>
      <c r="C941" s="6">
        <f t="shared" si="685"/>
        <v>3</v>
      </c>
      <c r="D941" s="8">
        <f>B941*B934+C941*C934+D934</f>
        <v>0.14666666666666273</v>
      </c>
      <c r="E941" s="6">
        <f t="shared" si="681"/>
        <v>1</v>
      </c>
      <c r="F941" s="6">
        <f>$F$11</f>
        <v>1</v>
      </c>
      <c r="G941" s="20" t="str">
        <f t="shared" si="682"/>
        <v>A</v>
      </c>
      <c r="H941" s="20" t="str">
        <f t="shared" si="683"/>
        <v>A</v>
      </c>
      <c r="I941" s="8">
        <f t="shared" si="677"/>
        <v>0</v>
      </c>
      <c r="J941" s="8">
        <f t="shared" si="678"/>
        <v>0</v>
      </c>
      <c r="K941" s="9">
        <f t="shared" si="679"/>
        <v>0</v>
      </c>
    </row>
    <row r="942" spans="1:11" x14ac:dyDescent="0.25">
      <c r="A942" s="5">
        <v>5</v>
      </c>
      <c r="B942" s="6">
        <f t="shared" ref="B942:C942" si="686">B927</f>
        <v>5</v>
      </c>
      <c r="C942" s="6">
        <f t="shared" si="686"/>
        <v>3</v>
      </c>
      <c r="D942" s="8">
        <f>B942*B934+C942*C934+D934</f>
        <v>0.54666666666666131</v>
      </c>
      <c r="E942" s="6">
        <f t="shared" si="681"/>
        <v>1</v>
      </c>
      <c r="F942" s="6">
        <f>$F$12</f>
        <v>1</v>
      </c>
      <c r="G942" s="20" t="str">
        <f t="shared" si="682"/>
        <v>A</v>
      </c>
      <c r="H942" s="20" t="str">
        <f t="shared" si="683"/>
        <v>A</v>
      </c>
      <c r="I942" s="8">
        <f t="shared" si="677"/>
        <v>0</v>
      </c>
      <c r="J942" s="8">
        <f t="shared" si="678"/>
        <v>0</v>
      </c>
      <c r="K942" s="9">
        <f t="shared" si="679"/>
        <v>0</v>
      </c>
    </row>
    <row r="943" spans="1:11" x14ac:dyDescent="0.25">
      <c r="A943" s="5">
        <v>6</v>
      </c>
      <c r="B943" s="6">
        <f t="shared" ref="B943:C943" si="687">B928</f>
        <v>3</v>
      </c>
      <c r="C943" s="6">
        <f t="shared" si="687"/>
        <v>2</v>
      </c>
      <c r="D943" s="8">
        <f>B943*B934+C943*C934+D934</f>
        <v>-1.333333333333675E-2</v>
      </c>
      <c r="E943" s="6">
        <f t="shared" si="681"/>
        <v>-1</v>
      </c>
      <c r="F943" s="6">
        <f>$F$13</f>
        <v>-1</v>
      </c>
      <c r="G943" s="20" t="str">
        <f t="shared" si="682"/>
        <v>B</v>
      </c>
      <c r="H943" s="20" t="str">
        <f t="shared" si="683"/>
        <v>B</v>
      </c>
      <c r="I943" s="8">
        <f t="shared" si="677"/>
        <v>0</v>
      </c>
      <c r="J943" s="8">
        <f t="shared" si="678"/>
        <v>0</v>
      </c>
      <c r="K943" s="9">
        <f t="shared" si="679"/>
        <v>0</v>
      </c>
    </row>
    <row r="944" spans="1:11" x14ac:dyDescent="0.25">
      <c r="A944" s="5"/>
      <c r="B944" s="6"/>
      <c r="C944" s="6"/>
      <c r="D944" s="6"/>
      <c r="E944" s="6"/>
      <c r="F944" s="6"/>
      <c r="G944" s="20" t="s">
        <v>8</v>
      </c>
      <c r="H944" s="20"/>
      <c r="I944" s="8">
        <f>SUM(I938:I943)</f>
        <v>0</v>
      </c>
      <c r="J944" s="8">
        <f>AVERAGE(J938:J943)</f>
        <v>0</v>
      </c>
      <c r="K944" s="9">
        <f>AVERAGE(K938:K943)</f>
        <v>0</v>
      </c>
    </row>
    <row r="945" spans="1:11" x14ac:dyDescent="0.25">
      <c r="A945" s="5"/>
      <c r="B945" s="6"/>
      <c r="C945" s="6"/>
      <c r="D945" s="6"/>
      <c r="E945" s="6"/>
      <c r="F945" s="6"/>
      <c r="G945" s="20" t="s">
        <v>9</v>
      </c>
      <c r="H945" s="20"/>
      <c r="I945" s="8">
        <f>SUMSQ(I938:I943)</f>
        <v>0</v>
      </c>
      <c r="J945" s="10"/>
      <c r="K945" s="15"/>
    </row>
    <row r="946" spans="1:11" x14ac:dyDescent="0.25">
      <c r="A946" s="11"/>
      <c r="B946" s="12"/>
      <c r="C946" s="12"/>
      <c r="D946" s="12"/>
      <c r="E946" s="12"/>
      <c r="F946" s="12"/>
      <c r="G946" s="21"/>
      <c r="H946" s="21"/>
      <c r="I946" s="18"/>
      <c r="J946" s="13"/>
      <c r="K946" s="16"/>
    </row>
    <row r="947" spans="1:11" x14ac:dyDescent="0.25">
      <c r="A947" s="2" t="s">
        <v>13</v>
      </c>
      <c r="B947" s="3">
        <f>B932+1</f>
        <v>64</v>
      </c>
      <c r="C947" s="3"/>
      <c r="D947" s="3"/>
      <c r="E947" s="3"/>
      <c r="F947" s="3"/>
      <c r="G947" s="19"/>
      <c r="H947" s="19"/>
      <c r="I947" s="17"/>
      <c r="J947" s="3"/>
      <c r="K947" s="4"/>
    </row>
    <row r="948" spans="1:11" x14ac:dyDescent="0.25">
      <c r="A948" s="5"/>
      <c r="B948" s="6" t="s">
        <v>4</v>
      </c>
      <c r="C948" s="6" t="s">
        <v>5</v>
      </c>
      <c r="D948" s="6" t="s">
        <v>6</v>
      </c>
      <c r="E948" s="6"/>
      <c r="F948" s="6"/>
      <c r="G948" s="20"/>
      <c r="H948" s="20"/>
      <c r="I948" s="8"/>
      <c r="J948" s="6"/>
      <c r="K948" s="7"/>
    </row>
    <row r="949" spans="1:11" x14ac:dyDescent="0.25">
      <c r="A949" s="5">
        <v>1</v>
      </c>
      <c r="B949" s="14">
        <f>B934+J944</f>
        <v>0.13333333333333286</v>
      </c>
      <c r="C949" s="14">
        <f>C934+K944</f>
        <v>0.29333333333333234</v>
      </c>
      <c r="D949" s="6">
        <f>D934</f>
        <v>-1</v>
      </c>
      <c r="E949" s="6"/>
      <c r="F949" s="6"/>
      <c r="G949" s="20"/>
      <c r="H949" s="20"/>
      <c r="I949" s="8"/>
      <c r="J949" s="6"/>
      <c r="K949" s="7"/>
    </row>
    <row r="950" spans="1:11" x14ac:dyDescent="0.25">
      <c r="A950" s="5"/>
      <c r="B950" s="6"/>
      <c r="C950" s="6"/>
      <c r="D950" s="6"/>
      <c r="E950" s="6"/>
      <c r="F950" s="6"/>
      <c r="G950" s="20"/>
      <c r="H950" s="20"/>
      <c r="I950" s="8"/>
      <c r="J950" s="6"/>
      <c r="K950" s="7"/>
    </row>
    <row r="951" spans="1:11" x14ac:dyDescent="0.25">
      <c r="A951" s="5"/>
      <c r="B951" s="6"/>
      <c r="C951" s="6"/>
      <c r="D951" s="6"/>
      <c r="E951" s="6"/>
      <c r="F951" s="6"/>
      <c r="G951" s="20"/>
      <c r="H951" s="20"/>
      <c r="I951" s="8"/>
      <c r="J951" s="6"/>
      <c r="K951" s="7"/>
    </row>
    <row r="952" spans="1:11" x14ac:dyDescent="0.25">
      <c r="A952" s="5" t="s">
        <v>10</v>
      </c>
      <c r="B952" s="6" t="s">
        <v>2</v>
      </c>
      <c r="C952" s="6" t="s">
        <v>3</v>
      </c>
      <c r="D952" s="6" t="s">
        <v>0</v>
      </c>
      <c r="E952" s="6" t="s">
        <v>15</v>
      </c>
      <c r="F952" s="6" t="s">
        <v>1</v>
      </c>
      <c r="G952" s="20" t="s">
        <v>17</v>
      </c>
      <c r="H952" s="20" t="s">
        <v>16</v>
      </c>
      <c r="I952" s="8" t="s">
        <v>7</v>
      </c>
      <c r="J952" s="6" t="s">
        <v>11</v>
      </c>
      <c r="K952" s="7" t="s">
        <v>12</v>
      </c>
    </row>
    <row r="953" spans="1:11" x14ac:dyDescent="0.25">
      <c r="A953" s="5">
        <v>1</v>
      </c>
      <c r="B953" s="6">
        <f>B938</f>
        <v>4</v>
      </c>
      <c r="C953" s="6">
        <f>C938</f>
        <v>3</v>
      </c>
      <c r="D953" s="8">
        <f>B953*B949+C953*C949+D949</f>
        <v>0.41333333333332845</v>
      </c>
      <c r="E953" s="6">
        <f>IF(D953&gt;=0,$F$1,$E$1)</f>
        <v>1</v>
      </c>
      <c r="F953" s="6">
        <f>$F$8</f>
        <v>1</v>
      </c>
      <c r="G953" s="20" t="str">
        <f>IF(E953&gt;0,"A","B")</f>
        <v>A</v>
      </c>
      <c r="H953" s="20" t="str">
        <f>IF(F953&gt;0,"A","B")</f>
        <v>A</v>
      </c>
      <c r="I953" s="8">
        <f t="shared" ref="I953:I958" si="688">F953-E953</f>
        <v>0</v>
      </c>
      <c r="J953" s="8">
        <f t="shared" ref="J953:J958" si="689">$C$1*I953*B953</f>
        <v>0</v>
      </c>
      <c r="K953" s="9">
        <f t="shared" ref="K953:K958" si="690">$C$1*I953*C953</f>
        <v>0</v>
      </c>
    </row>
    <row r="954" spans="1:11" x14ac:dyDescent="0.25">
      <c r="A954" s="5">
        <v>2</v>
      </c>
      <c r="B954" s="6">
        <f t="shared" ref="B954:C954" si="691">B939</f>
        <v>1</v>
      </c>
      <c r="C954" s="6">
        <f t="shared" si="691"/>
        <v>1</v>
      </c>
      <c r="D954" s="8">
        <f>B954*B949+C954*C949+D949</f>
        <v>-0.5733333333333348</v>
      </c>
      <c r="E954" s="6">
        <f t="shared" ref="E954:E958" si="692">IF(D954&gt;=0,$F$1,$E$1)</f>
        <v>-1</v>
      </c>
      <c r="F954" s="6">
        <f>$F$9</f>
        <v>-1</v>
      </c>
      <c r="G954" s="20" t="str">
        <f t="shared" ref="G954:G958" si="693">IF(E954&gt;0,"A","B")</f>
        <v>B</v>
      </c>
      <c r="H954" s="20" t="str">
        <f t="shared" ref="H954:H958" si="694">IF(F954&gt;0,"A","B")</f>
        <v>B</v>
      </c>
      <c r="I954" s="8">
        <f t="shared" si="688"/>
        <v>0</v>
      </c>
      <c r="J954" s="8">
        <f t="shared" si="689"/>
        <v>0</v>
      </c>
      <c r="K954" s="9">
        <f t="shared" si="690"/>
        <v>0</v>
      </c>
    </row>
    <row r="955" spans="1:11" x14ac:dyDescent="0.25">
      <c r="A955" s="5">
        <v>3</v>
      </c>
      <c r="B955" s="6">
        <f t="shared" ref="B955:C955" si="695">B940</f>
        <v>2</v>
      </c>
      <c r="C955" s="6">
        <f t="shared" si="695"/>
        <v>2</v>
      </c>
      <c r="D955" s="8">
        <f>B955*B949+C955*C949+D949</f>
        <v>-0.14666666666666961</v>
      </c>
      <c r="E955" s="6">
        <f t="shared" si="692"/>
        <v>-1</v>
      </c>
      <c r="F955" s="6">
        <f>$F$10</f>
        <v>-1</v>
      </c>
      <c r="G955" s="20" t="str">
        <f t="shared" si="693"/>
        <v>B</v>
      </c>
      <c r="H955" s="20" t="str">
        <f t="shared" si="694"/>
        <v>B</v>
      </c>
      <c r="I955" s="8">
        <f t="shared" si="688"/>
        <v>0</v>
      </c>
      <c r="J955" s="8">
        <f t="shared" si="689"/>
        <v>0</v>
      </c>
      <c r="K955" s="9">
        <f t="shared" si="690"/>
        <v>0</v>
      </c>
    </row>
    <row r="956" spans="1:11" x14ac:dyDescent="0.25">
      <c r="A956" s="5">
        <v>4</v>
      </c>
      <c r="B956" s="6">
        <f t="shared" ref="B956:C956" si="696">B941</f>
        <v>2</v>
      </c>
      <c r="C956" s="6">
        <f t="shared" si="696"/>
        <v>3</v>
      </c>
      <c r="D956" s="8">
        <f>B956*B949+C956*C949+D949</f>
        <v>0.14666666666666273</v>
      </c>
      <c r="E956" s="6">
        <f t="shared" si="692"/>
        <v>1</v>
      </c>
      <c r="F956" s="6">
        <f>$F$11</f>
        <v>1</v>
      </c>
      <c r="G956" s="20" t="str">
        <f t="shared" si="693"/>
        <v>A</v>
      </c>
      <c r="H956" s="20" t="str">
        <f t="shared" si="694"/>
        <v>A</v>
      </c>
      <c r="I956" s="8">
        <f t="shared" si="688"/>
        <v>0</v>
      </c>
      <c r="J956" s="8">
        <f t="shared" si="689"/>
        <v>0</v>
      </c>
      <c r="K956" s="9">
        <f t="shared" si="690"/>
        <v>0</v>
      </c>
    </row>
    <row r="957" spans="1:11" x14ac:dyDescent="0.25">
      <c r="A957" s="5">
        <v>5</v>
      </c>
      <c r="B957" s="6">
        <f t="shared" ref="B957:C957" si="697">B942</f>
        <v>5</v>
      </c>
      <c r="C957" s="6">
        <f t="shared" si="697"/>
        <v>3</v>
      </c>
      <c r="D957" s="8">
        <f>B957*B949+C957*C949+D949</f>
        <v>0.54666666666666131</v>
      </c>
      <c r="E957" s="6">
        <f t="shared" si="692"/>
        <v>1</v>
      </c>
      <c r="F957" s="6">
        <f>$F$12</f>
        <v>1</v>
      </c>
      <c r="G957" s="20" t="str">
        <f t="shared" si="693"/>
        <v>A</v>
      </c>
      <c r="H957" s="20" t="str">
        <f t="shared" si="694"/>
        <v>A</v>
      </c>
      <c r="I957" s="8">
        <f t="shared" si="688"/>
        <v>0</v>
      </c>
      <c r="J957" s="8">
        <f t="shared" si="689"/>
        <v>0</v>
      </c>
      <c r="K957" s="9">
        <f t="shared" si="690"/>
        <v>0</v>
      </c>
    </row>
    <row r="958" spans="1:11" x14ac:dyDescent="0.25">
      <c r="A958" s="5">
        <v>6</v>
      </c>
      <c r="B958" s="6">
        <f t="shared" ref="B958:C958" si="698">B943</f>
        <v>3</v>
      </c>
      <c r="C958" s="6">
        <f t="shared" si="698"/>
        <v>2</v>
      </c>
      <c r="D958" s="8">
        <f>B958*B949+C958*C949+D949</f>
        <v>-1.333333333333675E-2</v>
      </c>
      <c r="E958" s="6">
        <f t="shared" si="692"/>
        <v>-1</v>
      </c>
      <c r="F958" s="6">
        <f>$F$13</f>
        <v>-1</v>
      </c>
      <c r="G958" s="20" t="str">
        <f t="shared" si="693"/>
        <v>B</v>
      </c>
      <c r="H958" s="20" t="str">
        <f t="shared" si="694"/>
        <v>B</v>
      </c>
      <c r="I958" s="8">
        <f t="shared" si="688"/>
        <v>0</v>
      </c>
      <c r="J958" s="8">
        <f t="shared" si="689"/>
        <v>0</v>
      </c>
      <c r="K958" s="9">
        <f t="shared" si="690"/>
        <v>0</v>
      </c>
    </row>
    <row r="959" spans="1:11" x14ac:dyDescent="0.25">
      <c r="A959" s="5"/>
      <c r="B959" s="6"/>
      <c r="C959" s="6"/>
      <c r="D959" s="6"/>
      <c r="E959" s="6"/>
      <c r="F959" s="6"/>
      <c r="G959" s="20" t="s">
        <v>8</v>
      </c>
      <c r="H959" s="20"/>
      <c r="I959" s="8">
        <f>SUM(I953:I958)</f>
        <v>0</v>
      </c>
      <c r="J959" s="8">
        <f>AVERAGE(J953:J958)</f>
        <v>0</v>
      </c>
      <c r="K959" s="9">
        <f>AVERAGE(K953:K958)</f>
        <v>0</v>
      </c>
    </row>
    <row r="960" spans="1:11" x14ac:dyDescent="0.25">
      <c r="A960" s="5"/>
      <c r="B960" s="6"/>
      <c r="C960" s="6"/>
      <c r="D960" s="6"/>
      <c r="E960" s="6"/>
      <c r="F960" s="6"/>
      <c r="G960" s="20" t="s">
        <v>9</v>
      </c>
      <c r="H960" s="20"/>
      <c r="I960" s="8">
        <f>SUMSQ(I953:I958)</f>
        <v>0</v>
      </c>
      <c r="J960" s="10"/>
      <c r="K960" s="15"/>
    </row>
    <row r="961" spans="1:11" x14ac:dyDescent="0.25">
      <c r="A961" s="11"/>
      <c r="B961" s="12"/>
      <c r="C961" s="12"/>
      <c r="D961" s="12"/>
      <c r="E961" s="12"/>
      <c r="F961" s="12"/>
      <c r="G961" s="21"/>
      <c r="H961" s="21"/>
      <c r="I961" s="18"/>
      <c r="J961" s="13"/>
      <c r="K961" s="16"/>
    </row>
    <row r="962" spans="1:11" x14ac:dyDescent="0.25">
      <c r="A962" s="2" t="s">
        <v>13</v>
      </c>
      <c r="B962" s="3">
        <f>B947+1</f>
        <v>65</v>
      </c>
      <c r="C962" s="3"/>
      <c r="D962" s="3"/>
      <c r="E962" s="3"/>
      <c r="F962" s="3"/>
      <c r="G962" s="19"/>
      <c r="H962" s="19"/>
      <c r="I962" s="17"/>
      <c r="J962" s="3"/>
      <c r="K962" s="4"/>
    </row>
    <row r="963" spans="1:11" x14ac:dyDescent="0.25">
      <c r="A963" s="5"/>
      <c r="B963" s="6" t="s">
        <v>4</v>
      </c>
      <c r="C963" s="6" t="s">
        <v>5</v>
      </c>
      <c r="D963" s="6" t="s">
        <v>6</v>
      </c>
      <c r="E963" s="6"/>
      <c r="F963" s="6"/>
      <c r="G963" s="20"/>
      <c r="H963" s="20"/>
      <c r="I963" s="8"/>
      <c r="J963" s="6"/>
      <c r="K963" s="7"/>
    </row>
    <row r="964" spans="1:11" x14ac:dyDescent="0.25">
      <c r="A964" s="5">
        <v>1</v>
      </c>
      <c r="B964" s="14">
        <f>B949+J959</f>
        <v>0.13333333333333286</v>
      </c>
      <c r="C964" s="14">
        <f>C949+K959</f>
        <v>0.29333333333333234</v>
      </c>
      <c r="D964" s="6">
        <f>D949</f>
        <v>-1</v>
      </c>
      <c r="E964" s="6"/>
      <c r="F964" s="6"/>
      <c r="G964" s="20"/>
      <c r="H964" s="20"/>
      <c r="I964" s="8"/>
      <c r="J964" s="6"/>
      <c r="K964" s="7"/>
    </row>
    <row r="965" spans="1:11" x14ac:dyDescent="0.25">
      <c r="A965" s="5"/>
      <c r="B965" s="6"/>
      <c r="C965" s="6"/>
      <c r="D965" s="6"/>
      <c r="E965" s="6"/>
      <c r="F965" s="6"/>
      <c r="G965" s="20"/>
      <c r="H965" s="20"/>
      <c r="I965" s="8"/>
      <c r="J965" s="6"/>
      <c r="K965" s="7"/>
    </row>
    <row r="966" spans="1:11" x14ac:dyDescent="0.25">
      <c r="A966" s="5"/>
      <c r="B966" s="6"/>
      <c r="C966" s="6"/>
      <c r="D966" s="6"/>
      <c r="E966" s="6"/>
      <c r="F966" s="6"/>
      <c r="G966" s="20"/>
      <c r="H966" s="20"/>
      <c r="I966" s="8"/>
      <c r="J966" s="6"/>
      <c r="K966" s="7"/>
    </row>
    <row r="967" spans="1:11" x14ac:dyDescent="0.25">
      <c r="A967" s="5" t="s">
        <v>10</v>
      </c>
      <c r="B967" s="6" t="s">
        <v>2</v>
      </c>
      <c r="C967" s="6" t="s">
        <v>3</v>
      </c>
      <c r="D967" s="6" t="s">
        <v>0</v>
      </c>
      <c r="E967" s="6" t="s">
        <v>15</v>
      </c>
      <c r="F967" s="6" t="s">
        <v>1</v>
      </c>
      <c r="G967" s="20" t="s">
        <v>17</v>
      </c>
      <c r="H967" s="20" t="s">
        <v>16</v>
      </c>
      <c r="I967" s="8" t="s">
        <v>7</v>
      </c>
      <c r="J967" s="6" t="s">
        <v>11</v>
      </c>
      <c r="K967" s="7" t="s">
        <v>12</v>
      </c>
    </row>
    <row r="968" spans="1:11" x14ac:dyDescent="0.25">
      <c r="A968" s="5">
        <v>1</v>
      </c>
      <c r="B968" s="6">
        <f>B953</f>
        <v>4</v>
      </c>
      <c r="C968" s="6">
        <f>C953</f>
        <v>3</v>
      </c>
      <c r="D968" s="8">
        <f>B968*B964+C968*C964+D964</f>
        <v>0.41333333333332845</v>
      </c>
      <c r="E968" s="6">
        <f>IF(D968&gt;=0,$F$1,$E$1)</f>
        <v>1</v>
      </c>
      <c r="F968" s="6">
        <f>$F$8</f>
        <v>1</v>
      </c>
      <c r="G968" s="20" t="str">
        <f>IF(E968&gt;0,"A","B")</f>
        <v>A</v>
      </c>
      <c r="H968" s="20" t="str">
        <f>IF(F968&gt;0,"A","B")</f>
        <v>A</v>
      </c>
      <c r="I968" s="8">
        <f t="shared" ref="I968:I973" si="699">F968-E968</f>
        <v>0</v>
      </c>
      <c r="J968" s="8">
        <f t="shared" ref="J968:J973" si="700">$C$1*I968*B968</f>
        <v>0</v>
      </c>
      <c r="K968" s="9">
        <f t="shared" ref="K968:K973" si="701">$C$1*I968*C968</f>
        <v>0</v>
      </c>
    </row>
    <row r="969" spans="1:11" x14ac:dyDescent="0.25">
      <c r="A969" s="5">
        <v>2</v>
      </c>
      <c r="B969" s="6">
        <f t="shared" ref="B969:C969" si="702">B954</f>
        <v>1</v>
      </c>
      <c r="C969" s="6">
        <f t="shared" si="702"/>
        <v>1</v>
      </c>
      <c r="D969" s="8">
        <f>B969*B964+C969*C964+D964</f>
        <v>-0.5733333333333348</v>
      </c>
      <c r="E969" s="6">
        <f t="shared" ref="E969:E973" si="703">IF(D969&gt;=0,$F$1,$E$1)</f>
        <v>-1</v>
      </c>
      <c r="F969" s="6">
        <f>$F$9</f>
        <v>-1</v>
      </c>
      <c r="G969" s="20" t="str">
        <f t="shared" ref="G969:G973" si="704">IF(E969&gt;0,"A","B")</f>
        <v>B</v>
      </c>
      <c r="H969" s="20" t="str">
        <f t="shared" ref="H969:H973" si="705">IF(F969&gt;0,"A","B")</f>
        <v>B</v>
      </c>
      <c r="I969" s="8">
        <f t="shared" si="699"/>
        <v>0</v>
      </c>
      <c r="J969" s="8">
        <f t="shared" si="700"/>
        <v>0</v>
      </c>
      <c r="K969" s="9">
        <f t="shared" si="701"/>
        <v>0</v>
      </c>
    </row>
    <row r="970" spans="1:11" x14ac:dyDescent="0.25">
      <c r="A970" s="5">
        <v>3</v>
      </c>
      <c r="B970" s="6">
        <f t="shared" ref="B970:C970" si="706">B955</f>
        <v>2</v>
      </c>
      <c r="C970" s="6">
        <f t="shared" si="706"/>
        <v>2</v>
      </c>
      <c r="D970" s="8">
        <f>B970*B964+C970*C964+D964</f>
        <v>-0.14666666666666961</v>
      </c>
      <c r="E970" s="6">
        <f t="shared" si="703"/>
        <v>-1</v>
      </c>
      <c r="F970" s="6">
        <f>$F$10</f>
        <v>-1</v>
      </c>
      <c r="G970" s="20" t="str">
        <f t="shared" si="704"/>
        <v>B</v>
      </c>
      <c r="H970" s="20" t="str">
        <f t="shared" si="705"/>
        <v>B</v>
      </c>
      <c r="I970" s="8">
        <f t="shared" si="699"/>
        <v>0</v>
      </c>
      <c r="J970" s="8">
        <f t="shared" si="700"/>
        <v>0</v>
      </c>
      <c r="K970" s="9">
        <f t="shared" si="701"/>
        <v>0</v>
      </c>
    </row>
    <row r="971" spans="1:11" x14ac:dyDescent="0.25">
      <c r="A971" s="5">
        <v>4</v>
      </c>
      <c r="B971" s="6">
        <f t="shared" ref="B971:C971" si="707">B956</f>
        <v>2</v>
      </c>
      <c r="C971" s="6">
        <f t="shared" si="707"/>
        <v>3</v>
      </c>
      <c r="D971" s="8">
        <f>B971*B964+C971*C964+D964</f>
        <v>0.14666666666666273</v>
      </c>
      <c r="E971" s="6">
        <f t="shared" si="703"/>
        <v>1</v>
      </c>
      <c r="F971" s="6">
        <f>$F$11</f>
        <v>1</v>
      </c>
      <c r="G971" s="20" t="str">
        <f t="shared" si="704"/>
        <v>A</v>
      </c>
      <c r="H971" s="20" t="str">
        <f t="shared" si="705"/>
        <v>A</v>
      </c>
      <c r="I971" s="8">
        <f t="shared" si="699"/>
        <v>0</v>
      </c>
      <c r="J971" s="8">
        <f t="shared" si="700"/>
        <v>0</v>
      </c>
      <c r="K971" s="9">
        <f t="shared" si="701"/>
        <v>0</v>
      </c>
    </row>
    <row r="972" spans="1:11" x14ac:dyDescent="0.25">
      <c r="A972" s="5">
        <v>5</v>
      </c>
      <c r="B972" s="6">
        <f t="shared" ref="B972:C972" si="708">B957</f>
        <v>5</v>
      </c>
      <c r="C972" s="6">
        <f t="shared" si="708"/>
        <v>3</v>
      </c>
      <c r="D972" s="8">
        <f>B972*B964+C972*C964+D964</f>
        <v>0.54666666666666131</v>
      </c>
      <c r="E972" s="6">
        <f t="shared" si="703"/>
        <v>1</v>
      </c>
      <c r="F972" s="6">
        <f>$F$12</f>
        <v>1</v>
      </c>
      <c r="G972" s="20" t="str">
        <f t="shared" si="704"/>
        <v>A</v>
      </c>
      <c r="H972" s="20" t="str">
        <f t="shared" si="705"/>
        <v>A</v>
      </c>
      <c r="I972" s="8">
        <f t="shared" si="699"/>
        <v>0</v>
      </c>
      <c r="J972" s="8">
        <f t="shared" si="700"/>
        <v>0</v>
      </c>
      <c r="K972" s="9">
        <f t="shared" si="701"/>
        <v>0</v>
      </c>
    </row>
    <row r="973" spans="1:11" x14ac:dyDescent="0.25">
      <c r="A973" s="5">
        <v>6</v>
      </c>
      <c r="B973" s="6">
        <f t="shared" ref="B973:C973" si="709">B958</f>
        <v>3</v>
      </c>
      <c r="C973" s="6">
        <f t="shared" si="709"/>
        <v>2</v>
      </c>
      <c r="D973" s="8">
        <f>B973*B964+C973*C964+D964</f>
        <v>-1.333333333333675E-2</v>
      </c>
      <c r="E973" s="6">
        <f t="shared" si="703"/>
        <v>-1</v>
      </c>
      <c r="F973" s="6">
        <f>$F$13</f>
        <v>-1</v>
      </c>
      <c r="G973" s="20" t="str">
        <f t="shared" si="704"/>
        <v>B</v>
      </c>
      <c r="H973" s="20" t="str">
        <f t="shared" si="705"/>
        <v>B</v>
      </c>
      <c r="I973" s="8">
        <f t="shared" si="699"/>
        <v>0</v>
      </c>
      <c r="J973" s="8">
        <f t="shared" si="700"/>
        <v>0</v>
      </c>
      <c r="K973" s="9">
        <f t="shared" si="701"/>
        <v>0</v>
      </c>
    </row>
    <row r="974" spans="1:11" x14ac:dyDescent="0.25">
      <c r="A974" s="5"/>
      <c r="B974" s="6"/>
      <c r="C974" s="6"/>
      <c r="D974" s="6"/>
      <c r="E974" s="6"/>
      <c r="F974" s="6"/>
      <c r="G974" s="20" t="s">
        <v>8</v>
      </c>
      <c r="H974" s="20"/>
      <c r="I974" s="8">
        <f>SUM(I968:I973)</f>
        <v>0</v>
      </c>
      <c r="J974" s="8">
        <f>AVERAGE(J968:J973)</f>
        <v>0</v>
      </c>
      <c r="K974" s="9">
        <f>AVERAGE(K968:K973)</f>
        <v>0</v>
      </c>
    </row>
    <row r="975" spans="1:11" x14ac:dyDescent="0.25">
      <c r="A975" s="5"/>
      <c r="B975" s="6"/>
      <c r="C975" s="6"/>
      <c r="D975" s="6"/>
      <c r="E975" s="6"/>
      <c r="F975" s="6"/>
      <c r="G975" s="20" t="s">
        <v>9</v>
      </c>
      <c r="H975" s="20"/>
      <c r="I975" s="8">
        <f>SUMSQ(I968:I973)</f>
        <v>0</v>
      </c>
      <c r="J975" s="10"/>
      <c r="K975" s="15"/>
    </row>
    <row r="976" spans="1:11" x14ac:dyDescent="0.25">
      <c r="A976" s="11"/>
      <c r="B976" s="12"/>
      <c r="C976" s="12"/>
      <c r="D976" s="12"/>
      <c r="E976" s="12"/>
      <c r="F976" s="12"/>
      <c r="G976" s="21"/>
      <c r="H976" s="21"/>
      <c r="I976" s="18"/>
      <c r="J976" s="13"/>
      <c r="K976" s="16"/>
    </row>
    <row r="977" spans="1:11" x14ac:dyDescent="0.25">
      <c r="A977" s="2" t="s">
        <v>13</v>
      </c>
      <c r="B977" s="3">
        <f>B962+1</f>
        <v>66</v>
      </c>
      <c r="C977" s="3"/>
      <c r="D977" s="3"/>
      <c r="E977" s="3"/>
      <c r="F977" s="3"/>
      <c r="G977" s="19"/>
      <c r="H977" s="19"/>
      <c r="I977" s="17"/>
      <c r="J977" s="3"/>
      <c r="K977" s="4"/>
    </row>
    <row r="978" spans="1:11" x14ac:dyDescent="0.25">
      <c r="A978" s="5"/>
      <c r="B978" s="6" t="s">
        <v>4</v>
      </c>
      <c r="C978" s="6" t="s">
        <v>5</v>
      </c>
      <c r="D978" s="6" t="s">
        <v>6</v>
      </c>
      <c r="E978" s="6"/>
      <c r="F978" s="6"/>
      <c r="G978" s="20"/>
      <c r="H978" s="20"/>
      <c r="I978" s="8"/>
      <c r="J978" s="6"/>
      <c r="K978" s="7"/>
    </row>
    <row r="979" spans="1:11" x14ac:dyDescent="0.25">
      <c r="A979" s="5">
        <v>1</v>
      </c>
      <c r="B979" s="14">
        <f>B964+J974</f>
        <v>0.13333333333333286</v>
      </c>
      <c r="C979" s="14">
        <f>C964+K974</f>
        <v>0.29333333333333234</v>
      </c>
      <c r="D979" s="6">
        <f>D964</f>
        <v>-1</v>
      </c>
      <c r="E979" s="6"/>
      <c r="F979" s="6"/>
      <c r="G979" s="20"/>
      <c r="H979" s="20"/>
      <c r="I979" s="8"/>
      <c r="J979" s="6"/>
      <c r="K979" s="7"/>
    </row>
    <row r="980" spans="1:11" x14ac:dyDescent="0.25">
      <c r="A980" s="5"/>
      <c r="B980" s="6"/>
      <c r="C980" s="6"/>
      <c r="D980" s="6"/>
      <c r="E980" s="6"/>
      <c r="F980" s="6"/>
      <c r="G980" s="20"/>
      <c r="H980" s="20"/>
      <c r="I980" s="8"/>
      <c r="J980" s="6"/>
      <c r="K980" s="7"/>
    </row>
    <row r="981" spans="1:11" x14ac:dyDescent="0.25">
      <c r="A981" s="5"/>
      <c r="B981" s="6"/>
      <c r="C981" s="6"/>
      <c r="D981" s="6"/>
      <c r="E981" s="6"/>
      <c r="F981" s="6"/>
      <c r="G981" s="20"/>
      <c r="H981" s="20"/>
      <c r="I981" s="8"/>
      <c r="J981" s="6"/>
      <c r="K981" s="7"/>
    </row>
    <row r="982" spans="1:11" x14ac:dyDescent="0.25">
      <c r="A982" s="5" t="s">
        <v>10</v>
      </c>
      <c r="B982" s="6" t="s">
        <v>2</v>
      </c>
      <c r="C982" s="6" t="s">
        <v>3</v>
      </c>
      <c r="D982" s="6" t="s">
        <v>0</v>
      </c>
      <c r="E982" s="6" t="s">
        <v>15</v>
      </c>
      <c r="F982" s="6" t="s">
        <v>1</v>
      </c>
      <c r="G982" s="20" t="s">
        <v>17</v>
      </c>
      <c r="H982" s="20" t="s">
        <v>16</v>
      </c>
      <c r="I982" s="8" t="s">
        <v>7</v>
      </c>
      <c r="J982" s="6" t="s">
        <v>11</v>
      </c>
      <c r="K982" s="7" t="s">
        <v>12</v>
      </c>
    </row>
    <row r="983" spans="1:11" x14ac:dyDescent="0.25">
      <c r="A983" s="5">
        <v>1</v>
      </c>
      <c r="B983" s="6">
        <f>B968</f>
        <v>4</v>
      </c>
      <c r="C983" s="6">
        <f>C968</f>
        <v>3</v>
      </c>
      <c r="D983" s="8">
        <f>B983*B979+C983*C979+D979</f>
        <v>0.41333333333332845</v>
      </c>
      <c r="E983" s="6">
        <f>IF(D983&gt;=0,$F$1,$E$1)</f>
        <v>1</v>
      </c>
      <c r="F983" s="6">
        <f>$F$8</f>
        <v>1</v>
      </c>
      <c r="G983" s="20" t="str">
        <f>IF(E983&gt;0,"A","B")</f>
        <v>A</v>
      </c>
      <c r="H983" s="20" t="str">
        <f>IF(F983&gt;0,"A","B")</f>
        <v>A</v>
      </c>
      <c r="I983" s="8">
        <f t="shared" ref="I983:I988" si="710">F983-E983</f>
        <v>0</v>
      </c>
      <c r="J983" s="8">
        <f t="shared" ref="J983:J988" si="711">$C$1*I983*B983</f>
        <v>0</v>
      </c>
      <c r="K983" s="9">
        <f t="shared" ref="K983:K988" si="712">$C$1*I983*C983</f>
        <v>0</v>
      </c>
    </row>
    <row r="984" spans="1:11" x14ac:dyDescent="0.25">
      <c r="A984" s="5">
        <v>2</v>
      </c>
      <c r="B984" s="6">
        <f t="shared" ref="B984:C984" si="713">B969</f>
        <v>1</v>
      </c>
      <c r="C984" s="6">
        <f t="shared" si="713"/>
        <v>1</v>
      </c>
      <c r="D984" s="8">
        <f>B984*B979+C984*C979+D979</f>
        <v>-0.5733333333333348</v>
      </c>
      <c r="E984" s="6">
        <f t="shared" ref="E984:E988" si="714">IF(D984&gt;=0,$F$1,$E$1)</f>
        <v>-1</v>
      </c>
      <c r="F984" s="6">
        <f>$F$9</f>
        <v>-1</v>
      </c>
      <c r="G984" s="20" t="str">
        <f t="shared" ref="G984:G988" si="715">IF(E984&gt;0,"A","B")</f>
        <v>B</v>
      </c>
      <c r="H984" s="20" t="str">
        <f t="shared" ref="H984:H988" si="716">IF(F984&gt;0,"A","B")</f>
        <v>B</v>
      </c>
      <c r="I984" s="8">
        <f t="shared" si="710"/>
        <v>0</v>
      </c>
      <c r="J984" s="8">
        <f t="shared" si="711"/>
        <v>0</v>
      </c>
      <c r="K984" s="9">
        <f t="shared" si="712"/>
        <v>0</v>
      </c>
    </row>
    <row r="985" spans="1:11" x14ac:dyDescent="0.25">
      <c r="A985" s="5">
        <v>3</v>
      </c>
      <c r="B985" s="6">
        <f t="shared" ref="B985:C985" si="717">B970</f>
        <v>2</v>
      </c>
      <c r="C985" s="6">
        <f t="shared" si="717"/>
        <v>2</v>
      </c>
      <c r="D985" s="8">
        <f>B985*B979+C985*C979+D979</f>
        <v>-0.14666666666666961</v>
      </c>
      <c r="E985" s="6">
        <f t="shared" si="714"/>
        <v>-1</v>
      </c>
      <c r="F985" s="6">
        <f>$F$10</f>
        <v>-1</v>
      </c>
      <c r="G985" s="20" t="str">
        <f t="shared" si="715"/>
        <v>B</v>
      </c>
      <c r="H985" s="20" t="str">
        <f t="shared" si="716"/>
        <v>B</v>
      </c>
      <c r="I985" s="8">
        <f t="shared" si="710"/>
        <v>0</v>
      </c>
      <c r="J985" s="8">
        <f t="shared" si="711"/>
        <v>0</v>
      </c>
      <c r="K985" s="9">
        <f t="shared" si="712"/>
        <v>0</v>
      </c>
    </row>
    <row r="986" spans="1:11" x14ac:dyDescent="0.25">
      <c r="A986" s="5">
        <v>4</v>
      </c>
      <c r="B986" s="6">
        <f t="shared" ref="B986:C986" si="718">B971</f>
        <v>2</v>
      </c>
      <c r="C986" s="6">
        <f t="shared" si="718"/>
        <v>3</v>
      </c>
      <c r="D986" s="8">
        <f>B986*B979+C986*C979+D979</f>
        <v>0.14666666666666273</v>
      </c>
      <c r="E986" s="6">
        <f t="shared" si="714"/>
        <v>1</v>
      </c>
      <c r="F986" s="6">
        <f>$F$11</f>
        <v>1</v>
      </c>
      <c r="G986" s="20" t="str">
        <f t="shared" si="715"/>
        <v>A</v>
      </c>
      <c r="H986" s="20" t="str">
        <f t="shared" si="716"/>
        <v>A</v>
      </c>
      <c r="I986" s="8">
        <f t="shared" si="710"/>
        <v>0</v>
      </c>
      <c r="J986" s="8">
        <f t="shared" si="711"/>
        <v>0</v>
      </c>
      <c r="K986" s="9">
        <f t="shared" si="712"/>
        <v>0</v>
      </c>
    </row>
    <row r="987" spans="1:11" x14ac:dyDescent="0.25">
      <c r="A987" s="5">
        <v>5</v>
      </c>
      <c r="B987" s="6">
        <f t="shared" ref="B987:C987" si="719">B972</f>
        <v>5</v>
      </c>
      <c r="C987" s="6">
        <f t="shared" si="719"/>
        <v>3</v>
      </c>
      <c r="D987" s="8">
        <f>B987*B979+C987*C979+D979</f>
        <v>0.54666666666666131</v>
      </c>
      <c r="E987" s="6">
        <f t="shared" si="714"/>
        <v>1</v>
      </c>
      <c r="F987" s="6">
        <f>$F$12</f>
        <v>1</v>
      </c>
      <c r="G987" s="20" t="str">
        <f t="shared" si="715"/>
        <v>A</v>
      </c>
      <c r="H987" s="20" t="str">
        <f t="shared" si="716"/>
        <v>A</v>
      </c>
      <c r="I987" s="8">
        <f t="shared" si="710"/>
        <v>0</v>
      </c>
      <c r="J987" s="8">
        <f t="shared" si="711"/>
        <v>0</v>
      </c>
      <c r="K987" s="9">
        <f t="shared" si="712"/>
        <v>0</v>
      </c>
    </row>
    <row r="988" spans="1:11" x14ac:dyDescent="0.25">
      <c r="A988" s="5">
        <v>6</v>
      </c>
      <c r="B988" s="6">
        <f t="shared" ref="B988:C988" si="720">B973</f>
        <v>3</v>
      </c>
      <c r="C988" s="6">
        <f t="shared" si="720"/>
        <v>2</v>
      </c>
      <c r="D988" s="8">
        <f>B988*B979+C988*C979+D979</f>
        <v>-1.333333333333675E-2</v>
      </c>
      <c r="E988" s="6">
        <f t="shared" si="714"/>
        <v>-1</v>
      </c>
      <c r="F988" s="6">
        <f>$F$13</f>
        <v>-1</v>
      </c>
      <c r="G988" s="20" t="str">
        <f t="shared" si="715"/>
        <v>B</v>
      </c>
      <c r="H988" s="20" t="str">
        <f t="shared" si="716"/>
        <v>B</v>
      </c>
      <c r="I988" s="8">
        <f t="shared" si="710"/>
        <v>0</v>
      </c>
      <c r="J988" s="8">
        <f t="shared" si="711"/>
        <v>0</v>
      </c>
      <c r="K988" s="9">
        <f t="shared" si="712"/>
        <v>0</v>
      </c>
    </row>
    <row r="989" spans="1:11" x14ac:dyDescent="0.25">
      <c r="A989" s="5"/>
      <c r="B989" s="6"/>
      <c r="C989" s="6"/>
      <c r="D989" s="6"/>
      <c r="E989" s="6"/>
      <c r="F989" s="6"/>
      <c r="G989" s="20" t="s">
        <v>8</v>
      </c>
      <c r="H989" s="20"/>
      <c r="I989" s="8">
        <f>SUM(I983:I988)</f>
        <v>0</v>
      </c>
      <c r="J989" s="8">
        <f>AVERAGE(J983:J988)</f>
        <v>0</v>
      </c>
      <c r="K989" s="9">
        <f>AVERAGE(K983:K988)</f>
        <v>0</v>
      </c>
    </row>
    <row r="990" spans="1:11" x14ac:dyDescent="0.25">
      <c r="A990" s="5"/>
      <c r="B990" s="6"/>
      <c r="C990" s="6"/>
      <c r="D990" s="6"/>
      <c r="E990" s="6"/>
      <c r="F990" s="6"/>
      <c r="G990" s="20" t="s">
        <v>9</v>
      </c>
      <c r="H990" s="20"/>
      <c r="I990" s="8">
        <f>SUMSQ(I983:I988)</f>
        <v>0</v>
      </c>
      <c r="J990" s="10"/>
      <c r="K990" s="15"/>
    </row>
    <row r="991" spans="1:11" x14ac:dyDescent="0.25">
      <c r="A991" s="11"/>
      <c r="B991" s="12"/>
      <c r="C991" s="12"/>
      <c r="D991" s="12"/>
      <c r="E991" s="12"/>
      <c r="F991" s="12"/>
      <c r="G991" s="21"/>
      <c r="H991" s="21"/>
      <c r="I991" s="18"/>
      <c r="J991" s="13"/>
      <c r="K991" s="16"/>
    </row>
    <row r="992" spans="1:11" x14ac:dyDescent="0.25">
      <c r="A992" s="2" t="s">
        <v>13</v>
      </c>
      <c r="B992" s="3">
        <f>B977+1</f>
        <v>67</v>
      </c>
      <c r="C992" s="3"/>
      <c r="D992" s="3"/>
      <c r="E992" s="3"/>
      <c r="F992" s="3"/>
      <c r="G992" s="19"/>
      <c r="H992" s="19"/>
      <c r="I992" s="17"/>
      <c r="J992" s="3"/>
      <c r="K992" s="4"/>
    </row>
    <row r="993" spans="1:11" x14ac:dyDescent="0.25">
      <c r="A993" s="5"/>
      <c r="B993" s="6" t="s">
        <v>4</v>
      </c>
      <c r="C993" s="6" t="s">
        <v>5</v>
      </c>
      <c r="D993" s="6" t="s">
        <v>6</v>
      </c>
      <c r="E993" s="6"/>
      <c r="F993" s="6"/>
      <c r="G993" s="20"/>
      <c r="H993" s="20"/>
      <c r="I993" s="8"/>
      <c r="J993" s="6"/>
      <c r="K993" s="7"/>
    </row>
    <row r="994" spans="1:11" x14ac:dyDescent="0.25">
      <c r="A994" s="5">
        <v>1</v>
      </c>
      <c r="B994" s="14">
        <f>B979+J989</f>
        <v>0.13333333333333286</v>
      </c>
      <c r="C994" s="14">
        <f>C979+K989</f>
        <v>0.29333333333333234</v>
      </c>
      <c r="D994" s="6">
        <f>D979</f>
        <v>-1</v>
      </c>
      <c r="E994" s="6"/>
      <c r="F994" s="6"/>
      <c r="G994" s="20"/>
      <c r="H994" s="20"/>
      <c r="I994" s="8"/>
      <c r="J994" s="6"/>
      <c r="K994" s="7"/>
    </row>
    <row r="995" spans="1:11" x14ac:dyDescent="0.25">
      <c r="A995" s="5"/>
      <c r="B995" s="6"/>
      <c r="C995" s="6"/>
      <c r="D995" s="6"/>
      <c r="E995" s="6"/>
      <c r="F995" s="6"/>
      <c r="G995" s="20"/>
      <c r="H995" s="20"/>
      <c r="I995" s="8"/>
      <c r="J995" s="6"/>
      <c r="K995" s="7"/>
    </row>
    <row r="996" spans="1:11" x14ac:dyDescent="0.25">
      <c r="A996" s="5"/>
      <c r="B996" s="6"/>
      <c r="C996" s="6"/>
      <c r="D996" s="6"/>
      <c r="E996" s="6"/>
      <c r="F996" s="6"/>
      <c r="G996" s="20"/>
      <c r="H996" s="20"/>
      <c r="I996" s="8"/>
      <c r="J996" s="6"/>
      <c r="K996" s="7"/>
    </row>
    <row r="997" spans="1:11" x14ac:dyDescent="0.25">
      <c r="A997" s="5" t="s">
        <v>10</v>
      </c>
      <c r="B997" s="6" t="s">
        <v>2</v>
      </c>
      <c r="C997" s="6" t="s">
        <v>3</v>
      </c>
      <c r="D997" s="6" t="s">
        <v>0</v>
      </c>
      <c r="E997" s="6" t="s">
        <v>15</v>
      </c>
      <c r="F997" s="6" t="s">
        <v>1</v>
      </c>
      <c r="G997" s="20" t="s">
        <v>17</v>
      </c>
      <c r="H997" s="20" t="s">
        <v>16</v>
      </c>
      <c r="I997" s="8" t="s">
        <v>7</v>
      </c>
      <c r="J997" s="6" t="s">
        <v>11</v>
      </c>
      <c r="K997" s="7" t="s">
        <v>12</v>
      </c>
    </row>
    <row r="998" spans="1:11" x14ac:dyDescent="0.25">
      <c r="A998" s="5">
        <v>1</v>
      </c>
      <c r="B998" s="6">
        <f>B983</f>
        <v>4</v>
      </c>
      <c r="C998" s="6">
        <f>C983</f>
        <v>3</v>
      </c>
      <c r="D998" s="8">
        <f>B998*B994+C998*C994+D994</f>
        <v>0.41333333333332845</v>
      </c>
      <c r="E998" s="6">
        <f>IF(D998&gt;=0,$F$1,$E$1)</f>
        <v>1</v>
      </c>
      <c r="F998" s="6">
        <f>$F$8</f>
        <v>1</v>
      </c>
      <c r="G998" s="20" t="str">
        <f>IF(E998&gt;0,"A","B")</f>
        <v>A</v>
      </c>
      <c r="H998" s="20" t="str">
        <f>IF(F998&gt;0,"A","B")</f>
        <v>A</v>
      </c>
      <c r="I998" s="8">
        <f t="shared" ref="I998:I1003" si="721">F998-E998</f>
        <v>0</v>
      </c>
      <c r="J998" s="8">
        <f t="shared" ref="J998:J1003" si="722">$C$1*I998*B998</f>
        <v>0</v>
      </c>
      <c r="K998" s="9">
        <f t="shared" ref="K998:K1003" si="723">$C$1*I998*C998</f>
        <v>0</v>
      </c>
    </row>
    <row r="999" spans="1:11" x14ac:dyDescent="0.25">
      <c r="A999" s="5">
        <v>2</v>
      </c>
      <c r="B999" s="6">
        <f t="shared" ref="B999:C999" si="724">B984</f>
        <v>1</v>
      </c>
      <c r="C999" s="6">
        <f t="shared" si="724"/>
        <v>1</v>
      </c>
      <c r="D999" s="8">
        <f>B999*B994+C999*C994+D994</f>
        <v>-0.5733333333333348</v>
      </c>
      <c r="E999" s="6">
        <f t="shared" ref="E999:E1003" si="725">IF(D999&gt;=0,$F$1,$E$1)</f>
        <v>-1</v>
      </c>
      <c r="F999" s="6">
        <f>$F$9</f>
        <v>-1</v>
      </c>
      <c r="G999" s="20" t="str">
        <f t="shared" ref="G999:G1003" si="726">IF(E999&gt;0,"A","B")</f>
        <v>B</v>
      </c>
      <c r="H999" s="20" t="str">
        <f t="shared" ref="H999:H1003" si="727">IF(F999&gt;0,"A","B")</f>
        <v>B</v>
      </c>
      <c r="I999" s="8">
        <f t="shared" si="721"/>
        <v>0</v>
      </c>
      <c r="J999" s="8">
        <f t="shared" si="722"/>
        <v>0</v>
      </c>
      <c r="K999" s="9">
        <f t="shared" si="723"/>
        <v>0</v>
      </c>
    </row>
    <row r="1000" spans="1:11" x14ac:dyDescent="0.25">
      <c r="A1000" s="5">
        <v>3</v>
      </c>
      <c r="B1000" s="6">
        <f t="shared" ref="B1000:C1000" si="728">B985</f>
        <v>2</v>
      </c>
      <c r="C1000" s="6">
        <f t="shared" si="728"/>
        <v>2</v>
      </c>
      <c r="D1000" s="8">
        <f>B1000*B994+C1000*C994+D994</f>
        <v>-0.14666666666666961</v>
      </c>
      <c r="E1000" s="6">
        <f t="shared" si="725"/>
        <v>-1</v>
      </c>
      <c r="F1000" s="6">
        <f>$F$10</f>
        <v>-1</v>
      </c>
      <c r="G1000" s="20" t="str">
        <f t="shared" si="726"/>
        <v>B</v>
      </c>
      <c r="H1000" s="20" t="str">
        <f t="shared" si="727"/>
        <v>B</v>
      </c>
      <c r="I1000" s="8">
        <f t="shared" si="721"/>
        <v>0</v>
      </c>
      <c r="J1000" s="8">
        <f t="shared" si="722"/>
        <v>0</v>
      </c>
      <c r="K1000" s="9">
        <f t="shared" si="723"/>
        <v>0</v>
      </c>
    </row>
    <row r="1001" spans="1:11" x14ac:dyDescent="0.25">
      <c r="A1001" s="5">
        <v>4</v>
      </c>
      <c r="B1001" s="6">
        <f t="shared" ref="B1001:C1001" si="729">B986</f>
        <v>2</v>
      </c>
      <c r="C1001" s="6">
        <f t="shared" si="729"/>
        <v>3</v>
      </c>
      <c r="D1001" s="8">
        <f>B1001*B994+C1001*C994+D994</f>
        <v>0.14666666666666273</v>
      </c>
      <c r="E1001" s="6">
        <f t="shared" si="725"/>
        <v>1</v>
      </c>
      <c r="F1001" s="6">
        <f>$F$11</f>
        <v>1</v>
      </c>
      <c r="G1001" s="20" t="str">
        <f t="shared" si="726"/>
        <v>A</v>
      </c>
      <c r="H1001" s="20" t="str">
        <f t="shared" si="727"/>
        <v>A</v>
      </c>
      <c r="I1001" s="8">
        <f t="shared" si="721"/>
        <v>0</v>
      </c>
      <c r="J1001" s="8">
        <f t="shared" si="722"/>
        <v>0</v>
      </c>
      <c r="K1001" s="9">
        <f t="shared" si="723"/>
        <v>0</v>
      </c>
    </row>
    <row r="1002" spans="1:11" x14ac:dyDescent="0.25">
      <c r="A1002" s="5">
        <v>5</v>
      </c>
      <c r="B1002" s="6">
        <f t="shared" ref="B1002:C1002" si="730">B987</f>
        <v>5</v>
      </c>
      <c r="C1002" s="6">
        <f t="shared" si="730"/>
        <v>3</v>
      </c>
      <c r="D1002" s="8">
        <f>B1002*B994+C1002*C994+D994</f>
        <v>0.54666666666666131</v>
      </c>
      <c r="E1002" s="6">
        <f t="shared" si="725"/>
        <v>1</v>
      </c>
      <c r="F1002" s="6">
        <f>$F$12</f>
        <v>1</v>
      </c>
      <c r="G1002" s="20" t="str">
        <f t="shared" si="726"/>
        <v>A</v>
      </c>
      <c r="H1002" s="20" t="str">
        <f t="shared" si="727"/>
        <v>A</v>
      </c>
      <c r="I1002" s="8">
        <f t="shared" si="721"/>
        <v>0</v>
      </c>
      <c r="J1002" s="8">
        <f t="shared" si="722"/>
        <v>0</v>
      </c>
      <c r="K1002" s="9">
        <f t="shared" si="723"/>
        <v>0</v>
      </c>
    </row>
    <row r="1003" spans="1:11" x14ac:dyDescent="0.25">
      <c r="A1003" s="5">
        <v>6</v>
      </c>
      <c r="B1003" s="6">
        <f t="shared" ref="B1003:C1003" si="731">B988</f>
        <v>3</v>
      </c>
      <c r="C1003" s="6">
        <f t="shared" si="731"/>
        <v>2</v>
      </c>
      <c r="D1003" s="8">
        <f>B1003*B994+C1003*C994+D994</f>
        <v>-1.333333333333675E-2</v>
      </c>
      <c r="E1003" s="6">
        <f t="shared" si="725"/>
        <v>-1</v>
      </c>
      <c r="F1003" s="6">
        <f>$F$13</f>
        <v>-1</v>
      </c>
      <c r="G1003" s="20" t="str">
        <f t="shared" si="726"/>
        <v>B</v>
      </c>
      <c r="H1003" s="20" t="str">
        <f t="shared" si="727"/>
        <v>B</v>
      </c>
      <c r="I1003" s="8">
        <f t="shared" si="721"/>
        <v>0</v>
      </c>
      <c r="J1003" s="8">
        <f t="shared" si="722"/>
        <v>0</v>
      </c>
      <c r="K1003" s="9">
        <f t="shared" si="723"/>
        <v>0</v>
      </c>
    </row>
    <row r="1004" spans="1:11" x14ac:dyDescent="0.25">
      <c r="A1004" s="5"/>
      <c r="B1004" s="6"/>
      <c r="C1004" s="6"/>
      <c r="D1004" s="6"/>
      <c r="E1004" s="6"/>
      <c r="F1004" s="6"/>
      <c r="G1004" s="20" t="s">
        <v>8</v>
      </c>
      <c r="H1004" s="20"/>
      <c r="I1004" s="8">
        <f>SUM(I998:I1003)</f>
        <v>0</v>
      </c>
      <c r="J1004" s="8">
        <f>AVERAGE(J998:J1003)</f>
        <v>0</v>
      </c>
      <c r="K1004" s="9">
        <f>AVERAGE(K998:K1003)</f>
        <v>0</v>
      </c>
    </row>
    <row r="1005" spans="1:11" x14ac:dyDescent="0.25">
      <c r="A1005" s="5"/>
      <c r="B1005" s="6"/>
      <c r="C1005" s="6"/>
      <c r="D1005" s="6"/>
      <c r="E1005" s="6"/>
      <c r="F1005" s="6"/>
      <c r="G1005" s="20" t="s">
        <v>9</v>
      </c>
      <c r="H1005" s="20"/>
      <c r="I1005" s="8">
        <f>SUMSQ(I998:I1003)</f>
        <v>0</v>
      </c>
      <c r="J1005" s="10"/>
      <c r="K1005" s="15"/>
    </row>
    <row r="1006" spans="1:11" x14ac:dyDescent="0.25">
      <c r="A1006" s="11"/>
      <c r="B1006" s="12"/>
      <c r="C1006" s="12"/>
      <c r="D1006" s="12"/>
      <c r="E1006" s="12"/>
      <c r="F1006" s="12"/>
      <c r="G1006" s="21"/>
      <c r="H1006" s="21"/>
      <c r="I1006" s="18"/>
      <c r="J1006" s="13"/>
      <c r="K1006" s="16"/>
    </row>
    <row r="1007" spans="1:11" x14ac:dyDescent="0.25">
      <c r="A1007" s="2" t="s">
        <v>13</v>
      </c>
      <c r="B1007" s="3">
        <f>B992+1</f>
        <v>68</v>
      </c>
      <c r="C1007" s="3"/>
      <c r="D1007" s="3"/>
      <c r="E1007" s="3"/>
      <c r="F1007" s="3"/>
      <c r="G1007" s="19"/>
      <c r="H1007" s="19"/>
      <c r="I1007" s="17"/>
      <c r="J1007" s="3"/>
      <c r="K1007" s="4"/>
    </row>
    <row r="1008" spans="1:11" x14ac:dyDescent="0.25">
      <c r="A1008" s="5"/>
      <c r="B1008" s="6" t="s">
        <v>4</v>
      </c>
      <c r="C1008" s="6" t="s">
        <v>5</v>
      </c>
      <c r="D1008" s="6" t="s">
        <v>6</v>
      </c>
      <c r="E1008" s="6"/>
      <c r="F1008" s="6"/>
      <c r="G1008" s="20"/>
      <c r="H1008" s="20"/>
      <c r="I1008" s="8"/>
      <c r="J1008" s="6"/>
      <c r="K1008" s="7"/>
    </row>
    <row r="1009" spans="1:11" x14ac:dyDescent="0.25">
      <c r="A1009" s="5">
        <v>1</v>
      </c>
      <c r="B1009" s="14">
        <f>B994+J1004</f>
        <v>0.13333333333333286</v>
      </c>
      <c r="C1009" s="14">
        <f>C994+K1004</f>
        <v>0.29333333333333234</v>
      </c>
      <c r="D1009" s="6">
        <f>D994</f>
        <v>-1</v>
      </c>
      <c r="E1009" s="6"/>
      <c r="F1009" s="6"/>
      <c r="G1009" s="20"/>
      <c r="H1009" s="20"/>
      <c r="I1009" s="8"/>
      <c r="J1009" s="6"/>
      <c r="K1009" s="7"/>
    </row>
    <row r="1010" spans="1:11" x14ac:dyDescent="0.25">
      <c r="A1010" s="5"/>
      <c r="B1010" s="6"/>
      <c r="C1010" s="6"/>
      <c r="D1010" s="6"/>
      <c r="E1010" s="6"/>
      <c r="F1010" s="6"/>
      <c r="G1010" s="20"/>
      <c r="H1010" s="20"/>
      <c r="I1010" s="8"/>
      <c r="J1010" s="6"/>
      <c r="K1010" s="7"/>
    </row>
    <row r="1011" spans="1:11" x14ac:dyDescent="0.25">
      <c r="A1011" s="5"/>
      <c r="B1011" s="6"/>
      <c r="C1011" s="6"/>
      <c r="D1011" s="6"/>
      <c r="E1011" s="6"/>
      <c r="F1011" s="6"/>
      <c r="G1011" s="20"/>
      <c r="H1011" s="20"/>
      <c r="I1011" s="8"/>
      <c r="J1011" s="6"/>
      <c r="K1011" s="7"/>
    </row>
    <row r="1012" spans="1:11" x14ac:dyDescent="0.25">
      <c r="A1012" s="5" t="s">
        <v>10</v>
      </c>
      <c r="B1012" s="6" t="s">
        <v>2</v>
      </c>
      <c r="C1012" s="6" t="s">
        <v>3</v>
      </c>
      <c r="D1012" s="6" t="s">
        <v>0</v>
      </c>
      <c r="E1012" s="6" t="s">
        <v>15</v>
      </c>
      <c r="F1012" s="6" t="s">
        <v>1</v>
      </c>
      <c r="G1012" s="20" t="s">
        <v>17</v>
      </c>
      <c r="H1012" s="20" t="s">
        <v>16</v>
      </c>
      <c r="I1012" s="8" t="s">
        <v>7</v>
      </c>
      <c r="J1012" s="6" t="s">
        <v>11</v>
      </c>
      <c r="K1012" s="7" t="s">
        <v>12</v>
      </c>
    </row>
    <row r="1013" spans="1:11" x14ac:dyDescent="0.25">
      <c r="A1013" s="5">
        <v>1</v>
      </c>
      <c r="B1013" s="6">
        <f>B998</f>
        <v>4</v>
      </c>
      <c r="C1013" s="6">
        <f>C998</f>
        <v>3</v>
      </c>
      <c r="D1013" s="8">
        <f>B1013*B1009+C1013*C1009+D1009</f>
        <v>0.41333333333332845</v>
      </c>
      <c r="E1013" s="6">
        <f>IF(D1013&gt;=0,$F$1,$E$1)</f>
        <v>1</v>
      </c>
      <c r="F1013" s="6">
        <f>$F$8</f>
        <v>1</v>
      </c>
      <c r="G1013" s="20" t="str">
        <f>IF(E1013&gt;0,"A","B")</f>
        <v>A</v>
      </c>
      <c r="H1013" s="20" t="str">
        <f>IF(F1013&gt;0,"A","B")</f>
        <v>A</v>
      </c>
      <c r="I1013" s="8">
        <f t="shared" ref="I1013:I1018" si="732">F1013-E1013</f>
        <v>0</v>
      </c>
      <c r="J1013" s="8">
        <f t="shared" ref="J1013:J1018" si="733">$C$1*I1013*B1013</f>
        <v>0</v>
      </c>
      <c r="K1013" s="9">
        <f t="shared" ref="K1013:K1018" si="734">$C$1*I1013*C1013</f>
        <v>0</v>
      </c>
    </row>
    <row r="1014" spans="1:11" x14ac:dyDescent="0.25">
      <c r="A1014" s="5">
        <v>2</v>
      </c>
      <c r="B1014" s="6">
        <f t="shared" ref="B1014:C1014" si="735">B999</f>
        <v>1</v>
      </c>
      <c r="C1014" s="6">
        <f t="shared" si="735"/>
        <v>1</v>
      </c>
      <c r="D1014" s="8">
        <f>B1014*B1009+C1014*C1009+D1009</f>
        <v>-0.5733333333333348</v>
      </c>
      <c r="E1014" s="6">
        <f t="shared" ref="E1014:E1018" si="736">IF(D1014&gt;=0,$F$1,$E$1)</f>
        <v>-1</v>
      </c>
      <c r="F1014" s="6">
        <f>$F$9</f>
        <v>-1</v>
      </c>
      <c r="G1014" s="20" t="str">
        <f t="shared" ref="G1014:G1018" si="737">IF(E1014&gt;0,"A","B")</f>
        <v>B</v>
      </c>
      <c r="H1014" s="20" t="str">
        <f t="shared" ref="H1014:H1018" si="738">IF(F1014&gt;0,"A","B")</f>
        <v>B</v>
      </c>
      <c r="I1014" s="8">
        <f t="shared" si="732"/>
        <v>0</v>
      </c>
      <c r="J1014" s="8">
        <f t="shared" si="733"/>
        <v>0</v>
      </c>
      <c r="K1014" s="9">
        <f t="shared" si="734"/>
        <v>0</v>
      </c>
    </row>
    <row r="1015" spans="1:11" x14ac:dyDescent="0.25">
      <c r="A1015" s="5">
        <v>3</v>
      </c>
      <c r="B1015" s="6">
        <f t="shared" ref="B1015:C1015" si="739">B1000</f>
        <v>2</v>
      </c>
      <c r="C1015" s="6">
        <f t="shared" si="739"/>
        <v>2</v>
      </c>
      <c r="D1015" s="8">
        <f>B1015*B1009+C1015*C1009+D1009</f>
        <v>-0.14666666666666961</v>
      </c>
      <c r="E1015" s="6">
        <f t="shared" si="736"/>
        <v>-1</v>
      </c>
      <c r="F1015" s="6">
        <f>$F$10</f>
        <v>-1</v>
      </c>
      <c r="G1015" s="20" t="str">
        <f t="shared" si="737"/>
        <v>B</v>
      </c>
      <c r="H1015" s="20" t="str">
        <f t="shared" si="738"/>
        <v>B</v>
      </c>
      <c r="I1015" s="8">
        <f t="shared" si="732"/>
        <v>0</v>
      </c>
      <c r="J1015" s="8">
        <f t="shared" si="733"/>
        <v>0</v>
      </c>
      <c r="K1015" s="9">
        <f t="shared" si="734"/>
        <v>0</v>
      </c>
    </row>
    <row r="1016" spans="1:11" x14ac:dyDescent="0.25">
      <c r="A1016" s="5">
        <v>4</v>
      </c>
      <c r="B1016" s="6">
        <f t="shared" ref="B1016:C1016" si="740">B1001</f>
        <v>2</v>
      </c>
      <c r="C1016" s="6">
        <f t="shared" si="740"/>
        <v>3</v>
      </c>
      <c r="D1016" s="8">
        <f>B1016*B1009+C1016*C1009+D1009</f>
        <v>0.14666666666666273</v>
      </c>
      <c r="E1016" s="6">
        <f t="shared" si="736"/>
        <v>1</v>
      </c>
      <c r="F1016" s="6">
        <f>$F$11</f>
        <v>1</v>
      </c>
      <c r="G1016" s="20" t="str">
        <f t="shared" si="737"/>
        <v>A</v>
      </c>
      <c r="H1016" s="20" t="str">
        <f t="shared" si="738"/>
        <v>A</v>
      </c>
      <c r="I1016" s="8">
        <f t="shared" si="732"/>
        <v>0</v>
      </c>
      <c r="J1016" s="8">
        <f t="shared" si="733"/>
        <v>0</v>
      </c>
      <c r="K1016" s="9">
        <f t="shared" si="734"/>
        <v>0</v>
      </c>
    </row>
    <row r="1017" spans="1:11" x14ac:dyDescent="0.25">
      <c r="A1017" s="5">
        <v>5</v>
      </c>
      <c r="B1017" s="6">
        <f t="shared" ref="B1017:C1017" si="741">B1002</f>
        <v>5</v>
      </c>
      <c r="C1017" s="6">
        <f t="shared" si="741"/>
        <v>3</v>
      </c>
      <c r="D1017" s="8">
        <f>B1017*B1009+C1017*C1009+D1009</f>
        <v>0.54666666666666131</v>
      </c>
      <c r="E1017" s="6">
        <f t="shared" si="736"/>
        <v>1</v>
      </c>
      <c r="F1017" s="6">
        <f>$F$12</f>
        <v>1</v>
      </c>
      <c r="G1017" s="20" t="str">
        <f t="shared" si="737"/>
        <v>A</v>
      </c>
      <c r="H1017" s="20" t="str">
        <f t="shared" si="738"/>
        <v>A</v>
      </c>
      <c r="I1017" s="8">
        <f t="shared" si="732"/>
        <v>0</v>
      </c>
      <c r="J1017" s="8">
        <f t="shared" si="733"/>
        <v>0</v>
      </c>
      <c r="K1017" s="9">
        <f t="shared" si="734"/>
        <v>0</v>
      </c>
    </row>
    <row r="1018" spans="1:11" x14ac:dyDescent="0.25">
      <c r="A1018" s="5">
        <v>6</v>
      </c>
      <c r="B1018" s="6">
        <f t="shared" ref="B1018:C1018" si="742">B1003</f>
        <v>3</v>
      </c>
      <c r="C1018" s="6">
        <f t="shared" si="742"/>
        <v>2</v>
      </c>
      <c r="D1018" s="8">
        <f>B1018*B1009+C1018*C1009+D1009</f>
        <v>-1.333333333333675E-2</v>
      </c>
      <c r="E1018" s="6">
        <f t="shared" si="736"/>
        <v>-1</v>
      </c>
      <c r="F1018" s="6">
        <f>$F$13</f>
        <v>-1</v>
      </c>
      <c r="G1018" s="20" t="str">
        <f t="shared" si="737"/>
        <v>B</v>
      </c>
      <c r="H1018" s="20" t="str">
        <f t="shared" si="738"/>
        <v>B</v>
      </c>
      <c r="I1018" s="8">
        <f t="shared" si="732"/>
        <v>0</v>
      </c>
      <c r="J1018" s="8">
        <f t="shared" si="733"/>
        <v>0</v>
      </c>
      <c r="K1018" s="9">
        <f t="shared" si="734"/>
        <v>0</v>
      </c>
    </row>
    <row r="1019" spans="1:11" x14ac:dyDescent="0.25">
      <c r="A1019" s="5"/>
      <c r="B1019" s="6"/>
      <c r="C1019" s="6"/>
      <c r="D1019" s="6"/>
      <c r="E1019" s="6"/>
      <c r="F1019" s="6"/>
      <c r="G1019" s="20" t="s">
        <v>8</v>
      </c>
      <c r="H1019" s="20"/>
      <c r="I1019" s="8">
        <f>SUM(I1013:I1018)</f>
        <v>0</v>
      </c>
      <c r="J1019" s="8">
        <f>AVERAGE(J1013:J1018)</f>
        <v>0</v>
      </c>
      <c r="K1019" s="9">
        <f>AVERAGE(K1013:K1018)</f>
        <v>0</v>
      </c>
    </row>
    <row r="1020" spans="1:11" x14ac:dyDescent="0.25">
      <c r="A1020" s="5"/>
      <c r="B1020" s="6"/>
      <c r="C1020" s="6"/>
      <c r="D1020" s="6"/>
      <c r="E1020" s="6"/>
      <c r="F1020" s="6"/>
      <c r="G1020" s="20" t="s">
        <v>9</v>
      </c>
      <c r="H1020" s="20"/>
      <c r="I1020" s="8">
        <f>SUMSQ(I1013:I1018)</f>
        <v>0</v>
      </c>
      <c r="J1020" s="10"/>
      <c r="K1020" s="15"/>
    </row>
    <row r="1021" spans="1:11" x14ac:dyDescent="0.25">
      <c r="A1021" s="11"/>
      <c r="B1021" s="12"/>
      <c r="C1021" s="12"/>
      <c r="D1021" s="12"/>
      <c r="E1021" s="12"/>
      <c r="F1021" s="12"/>
      <c r="G1021" s="21"/>
      <c r="H1021" s="21"/>
      <c r="I1021" s="18"/>
      <c r="J1021" s="13"/>
      <c r="K1021" s="16"/>
    </row>
    <row r="1022" spans="1:11" x14ac:dyDescent="0.25">
      <c r="A1022" s="2" t="s">
        <v>13</v>
      </c>
      <c r="B1022" s="3">
        <f>B1007+1</f>
        <v>69</v>
      </c>
      <c r="C1022" s="3"/>
      <c r="D1022" s="3"/>
      <c r="E1022" s="3"/>
      <c r="F1022" s="3"/>
      <c r="G1022" s="19"/>
      <c r="H1022" s="19"/>
      <c r="I1022" s="17"/>
      <c r="J1022" s="3"/>
      <c r="K1022" s="4"/>
    </row>
    <row r="1023" spans="1:11" x14ac:dyDescent="0.25">
      <c r="A1023" s="5"/>
      <c r="B1023" s="6" t="s">
        <v>4</v>
      </c>
      <c r="C1023" s="6" t="s">
        <v>5</v>
      </c>
      <c r="D1023" s="6" t="s">
        <v>6</v>
      </c>
      <c r="E1023" s="6"/>
      <c r="F1023" s="6"/>
      <c r="G1023" s="20"/>
      <c r="H1023" s="20"/>
      <c r="I1023" s="8"/>
      <c r="J1023" s="6"/>
      <c r="K1023" s="7"/>
    </row>
    <row r="1024" spans="1:11" x14ac:dyDescent="0.25">
      <c r="A1024" s="5">
        <v>1</v>
      </c>
      <c r="B1024" s="14">
        <f>B1009+J1019</f>
        <v>0.13333333333333286</v>
      </c>
      <c r="C1024" s="14">
        <f>C1009+K1019</f>
        <v>0.29333333333333234</v>
      </c>
      <c r="D1024" s="6">
        <f>D1009</f>
        <v>-1</v>
      </c>
      <c r="E1024" s="6"/>
      <c r="F1024" s="6"/>
      <c r="G1024" s="20"/>
      <c r="H1024" s="20"/>
      <c r="I1024" s="8"/>
      <c r="J1024" s="6"/>
      <c r="K1024" s="7"/>
    </row>
    <row r="1025" spans="1:11" x14ac:dyDescent="0.25">
      <c r="A1025" s="5"/>
      <c r="B1025" s="6"/>
      <c r="C1025" s="6"/>
      <c r="D1025" s="6"/>
      <c r="E1025" s="6"/>
      <c r="F1025" s="6"/>
      <c r="G1025" s="20"/>
      <c r="H1025" s="20"/>
      <c r="I1025" s="8"/>
      <c r="J1025" s="6"/>
      <c r="K1025" s="7"/>
    </row>
    <row r="1026" spans="1:11" x14ac:dyDescent="0.25">
      <c r="A1026" s="5"/>
      <c r="B1026" s="6"/>
      <c r="C1026" s="6"/>
      <c r="D1026" s="6"/>
      <c r="E1026" s="6"/>
      <c r="F1026" s="6"/>
      <c r="G1026" s="20"/>
      <c r="H1026" s="20"/>
      <c r="I1026" s="8"/>
      <c r="J1026" s="6"/>
      <c r="K1026" s="7"/>
    </row>
    <row r="1027" spans="1:11" x14ac:dyDescent="0.25">
      <c r="A1027" s="5" t="s">
        <v>10</v>
      </c>
      <c r="B1027" s="6" t="s">
        <v>2</v>
      </c>
      <c r="C1027" s="6" t="s">
        <v>3</v>
      </c>
      <c r="D1027" s="6" t="s">
        <v>0</v>
      </c>
      <c r="E1027" s="6" t="s">
        <v>15</v>
      </c>
      <c r="F1027" s="6" t="s">
        <v>1</v>
      </c>
      <c r="G1027" s="20" t="s">
        <v>17</v>
      </c>
      <c r="H1027" s="20" t="s">
        <v>16</v>
      </c>
      <c r="I1027" s="8" t="s">
        <v>7</v>
      </c>
      <c r="J1027" s="6" t="s">
        <v>11</v>
      </c>
      <c r="K1027" s="7" t="s">
        <v>12</v>
      </c>
    </row>
    <row r="1028" spans="1:11" x14ac:dyDescent="0.25">
      <c r="A1028" s="5">
        <v>1</v>
      </c>
      <c r="B1028" s="6">
        <f>B1013</f>
        <v>4</v>
      </c>
      <c r="C1028" s="6">
        <f>C1013</f>
        <v>3</v>
      </c>
      <c r="D1028" s="8">
        <f>B1028*B1024+C1028*C1024+D1024</f>
        <v>0.41333333333332845</v>
      </c>
      <c r="E1028" s="6">
        <f>IF(D1028&gt;=0,$F$1,$E$1)</f>
        <v>1</v>
      </c>
      <c r="F1028" s="6">
        <f>$F$8</f>
        <v>1</v>
      </c>
      <c r="G1028" s="20" t="str">
        <f>IF(E1028&gt;0,"A","B")</f>
        <v>A</v>
      </c>
      <c r="H1028" s="20" t="str">
        <f>IF(F1028&gt;0,"A","B")</f>
        <v>A</v>
      </c>
      <c r="I1028" s="8">
        <f t="shared" ref="I1028:I1033" si="743">F1028-E1028</f>
        <v>0</v>
      </c>
      <c r="J1028" s="8">
        <f t="shared" ref="J1028:J1033" si="744">$C$1*I1028*B1028</f>
        <v>0</v>
      </c>
      <c r="K1028" s="9">
        <f t="shared" ref="K1028:K1033" si="745">$C$1*I1028*C1028</f>
        <v>0</v>
      </c>
    </row>
    <row r="1029" spans="1:11" x14ac:dyDescent="0.25">
      <c r="A1029" s="5">
        <v>2</v>
      </c>
      <c r="B1029" s="6">
        <f t="shared" ref="B1029:C1029" si="746">B1014</f>
        <v>1</v>
      </c>
      <c r="C1029" s="6">
        <f t="shared" si="746"/>
        <v>1</v>
      </c>
      <c r="D1029" s="8">
        <f>B1029*B1024+C1029*C1024+D1024</f>
        <v>-0.5733333333333348</v>
      </c>
      <c r="E1029" s="6">
        <f t="shared" ref="E1029:E1033" si="747">IF(D1029&gt;=0,$F$1,$E$1)</f>
        <v>-1</v>
      </c>
      <c r="F1029" s="6">
        <f>$F$9</f>
        <v>-1</v>
      </c>
      <c r="G1029" s="20" t="str">
        <f t="shared" ref="G1029:G1033" si="748">IF(E1029&gt;0,"A","B")</f>
        <v>B</v>
      </c>
      <c r="H1029" s="20" t="str">
        <f t="shared" ref="H1029:H1033" si="749">IF(F1029&gt;0,"A","B")</f>
        <v>B</v>
      </c>
      <c r="I1029" s="8">
        <f t="shared" si="743"/>
        <v>0</v>
      </c>
      <c r="J1029" s="8">
        <f t="shared" si="744"/>
        <v>0</v>
      </c>
      <c r="K1029" s="9">
        <f t="shared" si="745"/>
        <v>0</v>
      </c>
    </row>
    <row r="1030" spans="1:11" x14ac:dyDescent="0.25">
      <c r="A1030" s="5">
        <v>3</v>
      </c>
      <c r="B1030" s="6">
        <f t="shared" ref="B1030:C1030" si="750">B1015</f>
        <v>2</v>
      </c>
      <c r="C1030" s="6">
        <f t="shared" si="750"/>
        <v>2</v>
      </c>
      <c r="D1030" s="8">
        <f>B1030*B1024+C1030*C1024+D1024</f>
        <v>-0.14666666666666961</v>
      </c>
      <c r="E1030" s="6">
        <f t="shared" si="747"/>
        <v>-1</v>
      </c>
      <c r="F1030" s="6">
        <f>$F$10</f>
        <v>-1</v>
      </c>
      <c r="G1030" s="20" t="str">
        <f t="shared" si="748"/>
        <v>B</v>
      </c>
      <c r="H1030" s="20" t="str">
        <f t="shared" si="749"/>
        <v>B</v>
      </c>
      <c r="I1030" s="8">
        <f t="shared" si="743"/>
        <v>0</v>
      </c>
      <c r="J1030" s="8">
        <f t="shared" si="744"/>
        <v>0</v>
      </c>
      <c r="K1030" s="9">
        <f t="shared" si="745"/>
        <v>0</v>
      </c>
    </row>
    <row r="1031" spans="1:11" x14ac:dyDescent="0.25">
      <c r="A1031" s="5">
        <v>4</v>
      </c>
      <c r="B1031" s="6">
        <f t="shared" ref="B1031:C1031" si="751">B1016</f>
        <v>2</v>
      </c>
      <c r="C1031" s="6">
        <f t="shared" si="751"/>
        <v>3</v>
      </c>
      <c r="D1031" s="8">
        <f>B1031*B1024+C1031*C1024+D1024</f>
        <v>0.14666666666666273</v>
      </c>
      <c r="E1031" s="6">
        <f t="shared" si="747"/>
        <v>1</v>
      </c>
      <c r="F1031" s="6">
        <f>$F$11</f>
        <v>1</v>
      </c>
      <c r="G1031" s="20" t="str">
        <f t="shared" si="748"/>
        <v>A</v>
      </c>
      <c r="H1031" s="20" t="str">
        <f t="shared" si="749"/>
        <v>A</v>
      </c>
      <c r="I1031" s="8">
        <f t="shared" si="743"/>
        <v>0</v>
      </c>
      <c r="J1031" s="8">
        <f t="shared" si="744"/>
        <v>0</v>
      </c>
      <c r="K1031" s="9">
        <f t="shared" si="745"/>
        <v>0</v>
      </c>
    </row>
    <row r="1032" spans="1:11" x14ac:dyDescent="0.25">
      <c r="A1032" s="5">
        <v>5</v>
      </c>
      <c r="B1032" s="6">
        <f t="shared" ref="B1032:C1032" si="752">B1017</f>
        <v>5</v>
      </c>
      <c r="C1032" s="6">
        <f t="shared" si="752"/>
        <v>3</v>
      </c>
      <c r="D1032" s="8">
        <f>B1032*B1024+C1032*C1024+D1024</f>
        <v>0.54666666666666131</v>
      </c>
      <c r="E1032" s="6">
        <f t="shared" si="747"/>
        <v>1</v>
      </c>
      <c r="F1032" s="6">
        <f>$F$12</f>
        <v>1</v>
      </c>
      <c r="G1032" s="20" t="str">
        <f t="shared" si="748"/>
        <v>A</v>
      </c>
      <c r="H1032" s="20" t="str">
        <f t="shared" si="749"/>
        <v>A</v>
      </c>
      <c r="I1032" s="8">
        <f t="shared" si="743"/>
        <v>0</v>
      </c>
      <c r="J1032" s="8">
        <f t="shared" si="744"/>
        <v>0</v>
      </c>
      <c r="K1032" s="9">
        <f t="shared" si="745"/>
        <v>0</v>
      </c>
    </row>
    <row r="1033" spans="1:11" x14ac:dyDescent="0.25">
      <c r="A1033" s="5">
        <v>6</v>
      </c>
      <c r="B1033" s="6">
        <f t="shared" ref="B1033:C1033" si="753">B1018</f>
        <v>3</v>
      </c>
      <c r="C1033" s="6">
        <f t="shared" si="753"/>
        <v>2</v>
      </c>
      <c r="D1033" s="8">
        <f>B1033*B1024+C1033*C1024+D1024</f>
        <v>-1.333333333333675E-2</v>
      </c>
      <c r="E1033" s="6">
        <f t="shared" si="747"/>
        <v>-1</v>
      </c>
      <c r="F1033" s="6">
        <f>$F$13</f>
        <v>-1</v>
      </c>
      <c r="G1033" s="20" t="str">
        <f t="shared" si="748"/>
        <v>B</v>
      </c>
      <c r="H1033" s="20" t="str">
        <f t="shared" si="749"/>
        <v>B</v>
      </c>
      <c r="I1033" s="8">
        <f t="shared" si="743"/>
        <v>0</v>
      </c>
      <c r="J1033" s="8">
        <f t="shared" si="744"/>
        <v>0</v>
      </c>
      <c r="K1033" s="9">
        <f t="shared" si="745"/>
        <v>0</v>
      </c>
    </row>
    <row r="1034" spans="1:11" x14ac:dyDescent="0.25">
      <c r="A1034" s="5"/>
      <c r="B1034" s="6"/>
      <c r="C1034" s="6"/>
      <c r="D1034" s="6"/>
      <c r="E1034" s="6"/>
      <c r="F1034" s="6"/>
      <c r="G1034" s="20" t="s">
        <v>8</v>
      </c>
      <c r="H1034" s="20"/>
      <c r="I1034" s="8">
        <f>SUM(I1028:I1033)</f>
        <v>0</v>
      </c>
      <c r="J1034" s="8">
        <f>AVERAGE(J1028:J1033)</f>
        <v>0</v>
      </c>
      <c r="K1034" s="9">
        <f>AVERAGE(K1028:K1033)</f>
        <v>0</v>
      </c>
    </row>
    <row r="1035" spans="1:11" x14ac:dyDescent="0.25">
      <c r="A1035" s="5"/>
      <c r="B1035" s="6"/>
      <c r="C1035" s="6"/>
      <c r="D1035" s="6"/>
      <c r="E1035" s="6"/>
      <c r="F1035" s="6"/>
      <c r="G1035" s="20" t="s">
        <v>9</v>
      </c>
      <c r="H1035" s="20"/>
      <c r="I1035" s="8">
        <f>SUMSQ(I1028:I1033)</f>
        <v>0</v>
      </c>
      <c r="J1035" s="10"/>
      <c r="K1035" s="15"/>
    </row>
    <row r="1036" spans="1:11" x14ac:dyDescent="0.25">
      <c r="A1036" s="11"/>
      <c r="B1036" s="12"/>
      <c r="C1036" s="12"/>
      <c r="D1036" s="12"/>
      <c r="E1036" s="12"/>
      <c r="F1036" s="12"/>
      <c r="G1036" s="21"/>
      <c r="H1036" s="21"/>
      <c r="I1036" s="18"/>
      <c r="J1036" s="13"/>
      <c r="K1036" s="16"/>
    </row>
    <row r="1037" spans="1:11" x14ac:dyDescent="0.25">
      <c r="A1037" s="2" t="s">
        <v>13</v>
      </c>
      <c r="B1037" s="3">
        <f>B1022+1</f>
        <v>70</v>
      </c>
      <c r="C1037" s="3"/>
      <c r="D1037" s="3"/>
      <c r="E1037" s="3"/>
      <c r="F1037" s="3"/>
      <c r="G1037" s="19"/>
      <c r="H1037" s="19"/>
      <c r="I1037" s="17"/>
      <c r="J1037" s="3"/>
      <c r="K1037" s="4"/>
    </row>
    <row r="1038" spans="1:11" x14ac:dyDescent="0.25">
      <c r="A1038" s="5"/>
      <c r="B1038" s="6" t="s">
        <v>4</v>
      </c>
      <c r="C1038" s="6" t="s">
        <v>5</v>
      </c>
      <c r="D1038" s="6" t="s">
        <v>6</v>
      </c>
      <c r="E1038" s="6"/>
      <c r="F1038" s="6"/>
      <c r="G1038" s="20"/>
      <c r="H1038" s="20"/>
      <c r="I1038" s="8"/>
      <c r="J1038" s="6"/>
      <c r="K1038" s="7"/>
    </row>
    <row r="1039" spans="1:11" x14ac:dyDescent="0.25">
      <c r="A1039" s="5">
        <v>1</v>
      </c>
      <c r="B1039" s="14">
        <f>B1024+J1034</f>
        <v>0.13333333333333286</v>
      </c>
      <c r="C1039" s="14">
        <f>C1024+K1034</f>
        <v>0.29333333333333234</v>
      </c>
      <c r="D1039" s="6">
        <f>D1024</f>
        <v>-1</v>
      </c>
      <c r="E1039" s="6"/>
      <c r="F1039" s="6"/>
      <c r="G1039" s="20"/>
      <c r="H1039" s="20"/>
      <c r="I1039" s="8"/>
      <c r="J1039" s="6"/>
      <c r="K1039" s="7"/>
    </row>
    <row r="1040" spans="1:11" x14ac:dyDescent="0.25">
      <c r="A1040" s="5"/>
      <c r="B1040" s="6"/>
      <c r="C1040" s="6"/>
      <c r="D1040" s="6"/>
      <c r="E1040" s="6"/>
      <c r="F1040" s="6"/>
      <c r="G1040" s="20"/>
      <c r="H1040" s="20"/>
      <c r="I1040" s="8"/>
      <c r="J1040" s="6"/>
      <c r="K1040" s="7"/>
    </row>
    <row r="1041" spans="1:11" x14ac:dyDescent="0.25">
      <c r="A1041" s="5"/>
      <c r="B1041" s="6"/>
      <c r="C1041" s="6"/>
      <c r="D1041" s="6"/>
      <c r="E1041" s="6"/>
      <c r="F1041" s="6"/>
      <c r="G1041" s="20"/>
      <c r="H1041" s="20"/>
      <c r="I1041" s="8"/>
      <c r="J1041" s="6"/>
      <c r="K1041" s="7"/>
    </row>
    <row r="1042" spans="1:11" x14ac:dyDescent="0.25">
      <c r="A1042" s="5" t="s">
        <v>10</v>
      </c>
      <c r="B1042" s="6" t="s">
        <v>2</v>
      </c>
      <c r="C1042" s="6" t="s">
        <v>3</v>
      </c>
      <c r="D1042" s="6" t="s">
        <v>0</v>
      </c>
      <c r="E1042" s="6" t="s">
        <v>15</v>
      </c>
      <c r="F1042" s="6" t="s">
        <v>1</v>
      </c>
      <c r="G1042" s="20" t="s">
        <v>17</v>
      </c>
      <c r="H1042" s="20" t="s">
        <v>16</v>
      </c>
      <c r="I1042" s="8" t="s">
        <v>7</v>
      </c>
      <c r="J1042" s="6" t="s">
        <v>11</v>
      </c>
      <c r="K1042" s="7" t="s">
        <v>12</v>
      </c>
    </row>
    <row r="1043" spans="1:11" x14ac:dyDescent="0.25">
      <c r="A1043" s="5">
        <v>1</v>
      </c>
      <c r="B1043" s="6">
        <f>B1028</f>
        <v>4</v>
      </c>
      <c r="C1043" s="6">
        <f>C1028</f>
        <v>3</v>
      </c>
      <c r="D1043" s="8">
        <f>B1043*B1039+C1043*C1039+D1039</f>
        <v>0.41333333333332845</v>
      </c>
      <c r="E1043" s="6">
        <f>IF(D1043&gt;=0,$F$1,$E$1)</f>
        <v>1</v>
      </c>
      <c r="F1043" s="6">
        <f>$F$8</f>
        <v>1</v>
      </c>
      <c r="G1043" s="20" t="str">
        <f>IF(E1043&gt;0,"A","B")</f>
        <v>A</v>
      </c>
      <c r="H1043" s="20" t="str">
        <f>IF(F1043&gt;0,"A","B")</f>
        <v>A</v>
      </c>
      <c r="I1043" s="8">
        <f t="shared" ref="I1043:I1048" si="754">F1043-E1043</f>
        <v>0</v>
      </c>
      <c r="J1043" s="8">
        <f t="shared" ref="J1043:J1048" si="755">$C$1*I1043*B1043</f>
        <v>0</v>
      </c>
      <c r="K1043" s="9">
        <f t="shared" ref="K1043:K1048" si="756">$C$1*I1043*C1043</f>
        <v>0</v>
      </c>
    </row>
    <row r="1044" spans="1:11" x14ac:dyDescent="0.25">
      <c r="A1044" s="5">
        <v>2</v>
      </c>
      <c r="B1044" s="6">
        <f t="shared" ref="B1044:C1044" si="757">B1029</f>
        <v>1</v>
      </c>
      <c r="C1044" s="6">
        <f t="shared" si="757"/>
        <v>1</v>
      </c>
      <c r="D1044" s="8">
        <f>B1044*B1039+C1044*C1039+D1039</f>
        <v>-0.5733333333333348</v>
      </c>
      <c r="E1044" s="6">
        <f t="shared" ref="E1044:E1048" si="758">IF(D1044&gt;=0,$F$1,$E$1)</f>
        <v>-1</v>
      </c>
      <c r="F1044" s="6">
        <f>$F$9</f>
        <v>-1</v>
      </c>
      <c r="G1044" s="20" t="str">
        <f t="shared" ref="G1044:G1048" si="759">IF(E1044&gt;0,"A","B")</f>
        <v>B</v>
      </c>
      <c r="H1044" s="20" t="str">
        <f t="shared" ref="H1044:H1048" si="760">IF(F1044&gt;0,"A","B")</f>
        <v>B</v>
      </c>
      <c r="I1044" s="8">
        <f t="shared" si="754"/>
        <v>0</v>
      </c>
      <c r="J1044" s="8">
        <f t="shared" si="755"/>
        <v>0</v>
      </c>
      <c r="K1044" s="9">
        <f t="shared" si="756"/>
        <v>0</v>
      </c>
    </row>
    <row r="1045" spans="1:11" x14ac:dyDescent="0.25">
      <c r="A1045" s="5">
        <v>3</v>
      </c>
      <c r="B1045" s="6">
        <f t="shared" ref="B1045:C1045" si="761">B1030</f>
        <v>2</v>
      </c>
      <c r="C1045" s="6">
        <f t="shared" si="761"/>
        <v>2</v>
      </c>
      <c r="D1045" s="8">
        <f>B1045*B1039+C1045*C1039+D1039</f>
        <v>-0.14666666666666961</v>
      </c>
      <c r="E1045" s="6">
        <f t="shared" si="758"/>
        <v>-1</v>
      </c>
      <c r="F1045" s="6">
        <f>$F$10</f>
        <v>-1</v>
      </c>
      <c r="G1045" s="20" t="str">
        <f t="shared" si="759"/>
        <v>B</v>
      </c>
      <c r="H1045" s="20" t="str">
        <f t="shared" si="760"/>
        <v>B</v>
      </c>
      <c r="I1045" s="8">
        <f t="shared" si="754"/>
        <v>0</v>
      </c>
      <c r="J1045" s="8">
        <f t="shared" si="755"/>
        <v>0</v>
      </c>
      <c r="K1045" s="9">
        <f t="shared" si="756"/>
        <v>0</v>
      </c>
    </row>
    <row r="1046" spans="1:11" x14ac:dyDescent="0.25">
      <c r="A1046" s="5">
        <v>4</v>
      </c>
      <c r="B1046" s="6">
        <f t="shared" ref="B1046:C1046" si="762">B1031</f>
        <v>2</v>
      </c>
      <c r="C1046" s="6">
        <f t="shared" si="762"/>
        <v>3</v>
      </c>
      <c r="D1046" s="8">
        <f>B1046*B1039+C1046*C1039+D1039</f>
        <v>0.14666666666666273</v>
      </c>
      <c r="E1046" s="6">
        <f t="shared" si="758"/>
        <v>1</v>
      </c>
      <c r="F1046" s="6">
        <f>$F$11</f>
        <v>1</v>
      </c>
      <c r="G1046" s="20" t="str">
        <f t="shared" si="759"/>
        <v>A</v>
      </c>
      <c r="H1046" s="20" t="str">
        <f t="shared" si="760"/>
        <v>A</v>
      </c>
      <c r="I1046" s="8">
        <f t="shared" si="754"/>
        <v>0</v>
      </c>
      <c r="J1046" s="8">
        <f t="shared" si="755"/>
        <v>0</v>
      </c>
      <c r="K1046" s="9">
        <f t="shared" si="756"/>
        <v>0</v>
      </c>
    </row>
    <row r="1047" spans="1:11" x14ac:dyDescent="0.25">
      <c r="A1047" s="5">
        <v>5</v>
      </c>
      <c r="B1047" s="6">
        <f t="shared" ref="B1047:C1047" si="763">B1032</f>
        <v>5</v>
      </c>
      <c r="C1047" s="6">
        <f t="shared" si="763"/>
        <v>3</v>
      </c>
      <c r="D1047" s="8">
        <f>B1047*B1039+C1047*C1039+D1039</f>
        <v>0.54666666666666131</v>
      </c>
      <c r="E1047" s="6">
        <f t="shared" si="758"/>
        <v>1</v>
      </c>
      <c r="F1047" s="6">
        <f>$F$12</f>
        <v>1</v>
      </c>
      <c r="G1047" s="20" t="str">
        <f t="shared" si="759"/>
        <v>A</v>
      </c>
      <c r="H1047" s="20" t="str">
        <f t="shared" si="760"/>
        <v>A</v>
      </c>
      <c r="I1047" s="8">
        <f t="shared" si="754"/>
        <v>0</v>
      </c>
      <c r="J1047" s="8">
        <f t="shared" si="755"/>
        <v>0</v>
      </c>
      <c r="K1047" s="9">
        <f t="shared" si="756"/>
        <v>0</v>
      </c>
    </row>
    <row r="1048" spans="1:11" x14ac:dyDescent="0.25">
      <c r="A1048" s="5">
        <v>6</v>
      </c>
      <c r="B1048" s="6">
        <f t="shared" ref="B1048:C1048" si="764">B1033</f>
        <v>3</v>
      </c>
      <c r="C1048" s="6">
        <f t="shared" si="764"/>
        <v>2</v>
      </c>
      <c r="D1048" s="8">
        <f>B1048*B1039+C1048*C1039+D1039</f>
        <v>-1.333333333333675E-2</v>
      </c>
      <c r="E1048" s="6">
        <f t="shared" si="758"/>
        <v>-1</v>
      </c>
      <c r="F1048" s="6">
        <f>$F$13</f>
        <v>-1</v>
      </c>
      <c r="G1048" s="20" t="str">
        <f t="shared" si="759"/>
        <v>B</v>
      </c>
      <c r="H1048" s="20" t="str">
        <f t="shared" si="760"/>
        <v>B</v>
      </c>
      <c r="I1048" s="8">
        <f t="shared" si="754"/>
        <v>0</v>
      </c>
      <c r="J1048" s="8">
        <f t="shared" si="755"/>
        <v>0</v>
      </c>
      <c r="K1048" s="9">
        <f t="shared" si="756"/>
        <v>0</v>
      </c>
    </row>
    <row r="1049" spans="1:11" x14ac:dyDescent="0.25">
      <c r="A1049" s="5"/>
      <c r="B1049" s="6"/>
      <c r="C1049" s="6"/>
      <c r="D1049" s="6"/>
      <c r="E1049" s="6"/>
      <c r="F1049" s="6"/>
      <c r="G1049" s="20" t="s">
        <v>8</v>
      </c>
      <c r="H1049" s="20"/>
      <c r="I1049" s="8">
        <f>SUM(I1043:I1048)</f>
        <v>0</v>
      </c>
      <c r="J1049" s="8">
        <f>AVERAGE(J1043:J1048)</f>
        <v>0</v>
      </c>
      <c r="K1049" s="9">
        <f>AVERAGE(K1043:K1048)</f>
        <v>0</v>
      </c>
    </row>
    <row r="1050" spans="1:11" x14ac:dyDescent="0.25">
      <c r="A1050" s="5"/>
      <c r="B1050" s="6"/>
      <c r="C1050" s="6"/>
      <c r="D1050" s="6"/>
      <c r="E1050" s="6"/>
      <c r="F1050" s="6"/>
      <c r="G1050" s="20" t="s">
        <v>9</v>
      </c>
      <c r="H1050" s="20"/>
      <c r="I1050" s="8">
        <f>SUMSQ(I1043:I1048)</f>
        <v>0</v>
      </c>
      <c r="J1050" s="10"/>
      <c r="K1050" s="15"/>
    </row>
    <row r="1051" spans="1:11" x14ac:dyDescent="0.25">
      <c r="A1051" s="11"/>
      <c r="B1051" s="12"/>
      <c r="C1051" s="12"/>
      <c r="D1051" s="12"/>
      <c r="E1051" s="12"/>
      <c r="F1051" s="12"/>
      <c r="G1051" s="21"/>
      <c r="H1051" s="21"/>
      <c r="I1051" s="18"/>
      <c r="J1051" s="13"/>
      <c r="K1051" s="16"/>
    </row>
    <row r="1052" spans="1:11" x14ac:dyDescent="0.25">
      <c r="A1052" s="2" t="s">
        <v>13</v>
      </c>
      <c r="B1052" s="3">
        <f>B1037+1</f>
        <v>71</v>
      </c>
      <c r="C1052" s="3"/>
      <c r="D1052" s="3"/>
      <c r="E1052" s="3"/>
      <c r="F1052" s="3"/>
      <c r="G1052" s="19"/>
      <c r="H1052" s="19"/>
      <c r="I1052" s="17"/>
      <c r="J1052" s="3"/>
      <c r="K1052" s="4"/>
    </row>
    <row r="1053" spans="1:11" x14ac:dyDescent="0.25">
      <c r="A1053" s="5"/>
      <c r="B1053" s="6" t="s">
        <v>4</v>
      </c>
      <c r="C1053" s="6" t="s">
        <v>5</v>
      </c>
      <c r="D1053" s="6" t="s">
        <v>6</v>
      </c>
      <c r="E1053" s="6"/>
      <c r="F1053" s="6"/>
      <c r="G1053" s="20"/>
      <c r="H1053" s="20"/>
      <c r="I1053" s="8"/>
      <c r="J1053" s="6"/>
      <c r="K1053" s="7"/>
    </row>
    <row r="1054" spans="1:11" x14ac:dyDescent="0.25">
      <c r="A1054" s="5">
        <v>1</v>
      </c>
      <c r="B1054" s="14">
        <f>B1039+J1049</f>
        <v>0.13333333333333286</v>
      </c>
      <c r="C1054" s="14">
        <f>C1039+K1049</f>
        <v>0.29333333333333234</v>
      </c>
      <c r="D1054" s="6">
        <f>D1039</f>
        <v>-1</v>
      </c>
      <c r="E1054" s="6"/>
      <c r="F1054" s="6"/>
      <c r="G1054" s="20"/>
      <c r="H1054" s="20"/>
      <c r="I1054" s="8"/>
      <c r="J1054" s="6"/>
      <c r="K1054" s="7"/>
    </row>
    <row r="1055" spans="1:11" x14ac:dyDescent="0.25">
      <c r="A1055" s="5"/>
      <c r="B1055" s="6"/>
      <c r="C1055" s="6"/>
      <c r="D1055" s="6"/>
      <c r="E1055" s="6"/>
      <c r="F1055" s="6"/>
      <c r="G1055" s="20"/>
      <c r="H1055" s="20"/>
      <c r="I1055" s="8"/>
      <c r="J1055" s="6"/>
      <c r="K1055" s="7"/>
    </row>
    <row r="1056" spans="1:11" x14ac:dyDescent="0.25">
      <c r="A1056" s="5"/>
      <c r="B1056" s="6"/>
      <c r="C1056" s="6"/>
      <c r="D1056" s="6"/>
      <c r="E1056" s="6"/>
      <c r="F1056" s="6"/>
      <c r="G1056" s="20"/>
      <c r="H1056" s="20"/>
      <c r="I1056" s="8"/>
      <c r="J1056" s="6"/>
      <c r="K1056" s="7"/>
    </row>
    <row r="1057" spans="1:11" x14ac:dyDescent="0.25">
      <c r="A1057" s="5" t="s">
        <v>10</v>
      </c>
      <c r="B1057" s="6" t="s">
        <v>2</v>
      </c>
      <c r="C1057" s="6" t="s">
        <v>3</v>
      </c>
      <c r="D1057" s="6" t="s">
        <v>0</v>
      </c>
      <c r="E1057" s="6" t="s">
        <v>15</v>
      </c>
      <c r="F1057" s="6" t="s">
        <v>1</v>
      </c>
      <c r="G1057" s="20" t="s">
        <v>17</v>
      </c>
      <c r="H1057" s="20" t="s">
        <v>16</v>
      </c>
      <c r="I1057" s="8" t="s">
        <v>7</v>
      </c>
      <c r="J1057" s="6" t="s">
        <v>11</v>
      </c>
      <c r="K1057" s="7" t="s">
        <v>12</v>
      </c>
    </row>
    <row r="1058" spans="1:11" x14ac:dyDescent="0.25">
      <c r="A1058" s="5">
        <v>1</v>
      </c>
      <c r="B1058" s="6">
        <f>B1043</f>
        <v>4</v>
      </c>
      <c r="C1058" s="6">
        <f>C1043</f>
        <v>3</v>
      </c>
      <c r="D1058" s="8">
        <f>B1058*B1054+C1058*C1054+D1054</f>
        <v>0.41333333333332845</v>
      </c>
      <c r="E1058" s="6">
        <f>IF(D1058&gt;=0,$F$1,$E$1)</f>
        <v>1</v>
      </c>
      <c r="F1058" s="6">
        <f>$F$8</f>
        <v>1</v>
      </c>
      <c r="G1058" s="20" t="str">
        <f>IF(E1058&gt;0,"A","B")</f>
        <v>A</v>
      </c>
      <c r="H1058" s="20" t="str">
        <f>IF(F1058&gt;0,"A","B")</f>
        <v>A</v>
      </c>
      <c r="I1058" s="8">
        <f t="shared" ref="I1058:I1063" si="765">F1058-E1058</f>
        <v>0</v>
      </c>
      <c r="J1058" s="8">
        <f t="shared" ref="J1058:J1063" si="766">$C$1*I1058*B1058</f>
        <v>0</v>
      </c>
      <c r="K1058" s="9">
        <f t="shared" ref="K1058:K1063" si="767">$C$1*I1058*C1058</f>
        <v>0</v>
      </c>
    </row>
    <row r="1059" spans="1:11" x14ac:dyDescent="0.25">
      <c r="A1059" s="5">
        <v>2</v>
      </c>
      <c r="B1059" s="6">
        <f t="shared" ref="B1059:C1059" si="768">B1044</f>
        <v>1</v>
      </c>
      <c r="C1059" s="6">
        <f t="shared" si="768"/>
        <v>1</v>
      </c>
      <c r="D1059" s="8">
        <f>B1059*B1054+C1059*C1054+D1054</f>
        <v>-0.5733333333333348</v>
      </c>
      <c r="E1059" s="6">
        <f t="shared" ref="E1059:E1063" si="769">IF(D1059&gt;=0,$F$1,$E$1)</f>
        <v>-1</v>
      </c>
      <c r="F1059" s="6">
        <f>$F$9</f>
        <v>-1</v>
      </c>
      <c r="G1059" s="20" t="str">
        <f t="shared" ref="G1059:G1063" si="770">IF(E1059&gt;0,"A","B")</f>
        <v>B</v>
      </c>
      <c r="H1059" s="20" t="str">
        <f t="shared" ref="H1059:H1063" si="771">IF(F1059&gt;0,"A","B")</f>
        <v>B</v>
      </c>
      <c r="I1059" s="8">
        <f t="shared" si="765"/>
        <v>0</v>
      </c>
      <c r="J1059" s="8">
        <f t="shared" si="766"/>
        <v>0</v>
      </c>
      <c r="K1059" s="9">
        <f t="shared" si="767"/>
        <v>0</v>
      </c>
    </row>
    <row r="1060" spans="1:11" x14ac:dyDescent="0.25">
      <c r="A1060" s="5">
        <v>3</v>
      </c>
      <c r="B1060" s="6">
        <f t="shared" ref="B1060:C1060" si="772">B1045</f>
        <v>2</v>
      </c>
      <c r="C1060" s="6">
        <f t="shared" si="772"/>
        <v>2</v>
      </c>
      <c r="D1060" s="8">
        <f>B1060*B1054+C1060*C1054+D1054</f>
        <v>-0.14666666666666961</v>
      </c>
      <c r="E1060" s="6">
        <f t="shared" si="769"/>
        <v>-1</v>
      </c>
      <c r="F1060" s="6">
        <f>$F$10</f>
        <v>-1</v>
      </c>
      <c r="G1060" s="20" t="str">
        <f t="shared" si="770"/>
        <v>B</v>
      </c>
      <c r="H1060" s="20" t="str">
        <f t="shared" si="771"/>
        <v>B</v>
      </c>
      <c r="I1060" s="8">
        <f t="shared" si="765"/>
        <v>0</v>
      </c>
      <c r="J1060" s="8">
        <f t="shared" si="766"/>
        <v>0</v>
      </c>
      <c r="K1060" s="9">
        <f t="shared" si="767"/>
        <v>0</v>
      </c>
    </row>
    <row r="1061" spans="1:11" x14ac:dyDescent="0.25">
      <c r="A1061" s="5">
        <v>4</v>
      </c>
      <c r="B1061" s="6">
        <f t="shared" ref="B1061:C1061" si="773">B1046</f>
        <v>2</v>
      </c>
      <c r="C1061" s="6">
        <f t="shared" si="773"/>
        <v>3</v>
      </c>
      <c r="D1061" s="8">
        <f>B1061*B1054+C1061*C1054+D1054</f>
        <v>0.14666666666666273</v>
      </c>
      <c r="E1061" s="6">
        <f t="shared" si="769"/>
        <v>1</v>
      </c>
      <c r="F1061" s="6">
        <f>$F$11</f>
        <v>1</v>
      </c>
      <c r="G1061" s="20" t="str">
        <f t="shared" si="770"/>
        <v>A</v>
      </c>
      <c r="H1061" s="20" t="str">
        <f t="shared" si="771"/>
        <v>A</v>
      </c>
      <c r="I1061" s="8">
        <f t="shared" si="765"/>
        <v>0</v>
      </c>
      <c r="J1061" s="8">
        <f t="shared" si="766"/>
        <v>0</v>
      </c>
      <c r="K1061" s="9">
        <f t="shared" si="767"/>
        <v>0</v>
      </c>
    </row>
    <row r="1062" spans="1:11" x14ac:dyDescent="0.25">
      <c r="A1062" s="5">
        <v>5</v>
      </c>
      <c r="B1062" s="6">
        <f t="shared" ref="B1062:C1062" si="774">B1047</f>
        <v>5</v>
      </c>
      <c r="C1062" s="6">
        <f t="shared" si="774"/>
        <v>3</v>
      </c>
      <c r="D1062" s="8">
        <f>B1062*B1054+C1062*C1054+D1054</f>
        <v>0.54666666666666131</v>
      </c>
      <c r="E1062" s="6">
        <f t="shared" si="769"/>
        <v>1</v>
      </c>
      <c r="F1062" s="6">
        <f>$F$12</f>
        <v>1</v>
      </c>
      <c r="G1062" s="20" t="str">
        <f t="shared" si="770"/>
        <v>A</v>
      </c>
      <c r="H1062" s="20" t="str">
        <f t="shared" si="771"/>
        <v>A</v>
      </c>
      <c r="I1062" s="8">
        <f t="shared" si="765"/>
        <v>0</v>
      </c>
      <c r="J1062" s="8">
        <f t="shared" si="766"/>
        <v>0</v>
      </c>
      <c r="K1062" s="9">
        <f t="shared" si="767"/>
        <v>0</v>
      </c>
    </row>
    <row r="1063" spans="1:11" x14ac:dyDescent="0.25">
      <c r="A1063" s="5">
        <v>6</v>
      </c>
      <c r="B1063" s="6">
        <f t="shared" ref="B1063:C1063" si="775">B1048</f>
        <v>3</v>
      </c>
      <c r="C1063" s="6">
        <f t="shared" si="775"/>
        <v>2</v>
      </c>
      <c r="D1063" s="8">
        <f>B1063*B1054+C1063*C1054+D1054</f>
        <v>-1.333333333333675E-2</v>
      </c>
      <c r="E1063" s="6">
        <f t="shared" si="769"/>
        <v>-1</v>
      </c>
      <c r="F1063" s="6">
        <f>$F$13</f>
        <v>-1</v>
      </c>
      <c r="G1063" s="20" t="str">
        <f t="shared" si="770"/>
        <v>B</v>
      </c>
      <c r="H1063" s="20" t="str">
        <f t="shared" si="771"/>
        <v>B</v>
      </c>
      <c r="I1063" s="8">
        <f t="shared" si="765"/>
        <v>0</v>
      </c>
      <c r="J1063" s="8">
        <f t="shared" si="766"/>
        <v>0</v>
      </c>
      <c r="K1063" s="9">
        <f t="shared" si="767"/>
        <v>0</v>
      </c>
    </row>
    <row r="1064" spans="1:11" x14ac:dyDescent="0.25">
      <c r="A1064" s="5"/>
      <c r="B1064" s="6"/>
      <c r="C1064" s="6"/>
      <c r="D1064" s="6"/>
      <c r="E1064" s="6"/>
      <c r="F1064" s="6"/>
      <c r="G1064" s="20" t="s">
        <v>8</v>
      </c>
      <c r="H1064" s="20"/>
      <c r="I1064" s="8">
        <f>SUM(I1058:I1063)</f>
        <v>0</v>
      </c>
      <c r="J1064" s="8">
        <f>AVERAGE(J1058:J1063)</f>
        <v>0</v>
      </c>
      <c r="K1064" s="9">
        <f>AVERAGE(K1058:K1063)</f>
        <v>0</v>
      </c>
    </row>
    <row r="1065" spans="1:11" x14ac:dyDescent="0.25">
      <c r="A1065" s="5"/>
      <c r="B1065" s="6"/>
      <c r="C1065" s="6"/>
      <c r="D1065" s="6"/>
      <c r="E1065" s="6"/>
      <c r="F1065" s="6"/>
      <c r="G1065" s="20" t="s">
        <v>9</v>
      </c>
      <c r="H1065" s="20"/>
      <c r="I1065" s="8">
        <f>SUMSQ(I1058:I1063)</f>
        <v>0</v>
      </c>
      <c r="J1065" s="10"/>
      <c r="K1065" s="15"/>
    </row>
    <row r="1066" spans="1:11" x14ac:dyDescent="0.25">
      <c r="A1066" s="11"/>
      <c r="B1066" s="12"/>
      <c r="C1066" s="12"/>
      <c r="D1066" s="12"/>
      <c r="E1066" s="12"/>
      <c r="F1066" s="12"/>
      <c r="G1066" s="21"/>
      <c r="H1066" s="21"/>
      <c r="I1066" s="18"/>
      <c r="J1066" s="13"/>
      <c r="K1066" s="16"/>
    </row>
    <row r="1067" spans="1:11" x14ac:dyDescent="0.25">
      <c r="A1067" s="2" t="s">
        <v>13</v>
      </c>
      <c r="B1067" s="3">
        <f>B1052+1</f>
        <v>72</v>
      </c>
      <c r="C1067" s="3"/>
      <c r="D1067" s="3"/>
      <c r="E1067" s="3"/>
      <c r="F1067" s="3"/>
      <c r="G1067" s="19"/>
      <c r="H1067" s="19"/>
      <c r="I1067" s="17"/>
      <c r="J1067" s="3"/>
      <c r="K1067" s="4"/>
    </row>
    <row r="1068" spans="1:11" x14ac:dyDescent="0.25">
      <c r="A1068" s="5"/>
      <c r="B1068" s="6" t="s">
        <v>4</v>
      </c>
      <c r="C1068" s="6" t="s">
        <v>5</v>
      </c>
      <c r="D1068" s="6" t="s">
        <v>6</v>
      </c>
      <c r="E1068" s="6"/>
      <c r="F1068" s="6"/>
      <c r="G1068" s="20"/>
      <c r="H1068" s="20"/>
      <c r="I1068" s="8"/>
      <c r="J1068" s="6"/>
      <c r="K1068" s="7"/>
    </row>
    <row r="1069" spans="1:11" x14ac:dyDescent="0.25">
      <c r="A1069" s="5">
        <v>1</v>
      </c>
      <c r="B1069" s="14">
        <f>B1054+J1064</f>
        <v>0.13333333333333286</v>
      </c>
      <c r="C1069" s="14">
        <f>C1054+K1064</f>
        <v>0.29333333333333234</v>
      </c>
      <c r="D1069" s="6">
        <f>D1054</f>
        <v>-1</v>
      </c>
      <c r="E1069" s="6"/>
      <c r="F1069" s="6"/>
      <c r="G1069" s="20"/>
      <c r="H1069" s="20"/>
      <c r="I1069" s="8"/>
      <c r="J1069" s="6"/>
      <c r="K1069" s="7"/>
    </row>
    <row r="1070" spans="1:11" x14ac:dyDescent="0.25">
      <c r="A1070" s="5"/>
      <c r="B1070" s="6"/>
      <c r="C1070" s="6"/>
      <c r="D1070" s="6"/>
      <c r="E1070" s="6"/>
      <c r="F1070" s="6"/>
      <c r="G1070" s="20"/>
      <c r="H1070" s="20"/>
      <c r="I1070" s="8"/>
      <c r="J1070" s="6"/>
      <c r="K1070" s="7"/>
    </row>
    <row r="1071" spans="1:11" x14ac:dyDescent="0.25">
      <c r="A1071" s="5"/>
      <c r="B1071" s="6"/>
      <c r="C1071" s="6"/>
      <c r="D1071" s="6"/>
      <c r="E1071" s="6"/>
      <c r="F1071" s="6"/>
      <c r="G1071" s="20"/>
      <c r="H1071" s="20"/>
      <c r="I1071" s="8"/>
      <c r="J1071" s="6"/>
      <c r="K1071" s="7"/>
    </row>
    <row r="1072" spans="1:11" x14ac:dyDescent="0.25">
      <c r="A1072" s="5" t="s">
        <v>10</v>
      </c>
      <c r="B1072" s="6" t="s">
        <v>2</v>
      </c>
      <c r="C1072" s="6" t="s">
        <v>3</v>
      </c>
      <c r="D1072" s="6" t="s">
        <v>0</v>
      </c>
      <c r="E1072" s="6" t="s">
        <v>15</v>
      </c>
      <c r="F1072" s="6" t="s">
        <v>1</v>
      </c>
      <c r="G1072" s="20" t="s">
        <v>17</v>
      </c>
      <c r="H1072" s="20" t="s">
        <v>16</v>
      </c>
      <c r="I1072" s="8" t="s">
        <v>7</v>
      </c>
      <c r="J1072" s="6" t="s">
        <v>11</v>
      </c>
      <c r="K1072" s="7" t="s">
        <v>12</v>
      </c>
    </row>
    <row r="1073" spans="1:11" x14ac:dyDescent="0.25">
      <c r="A1073" s="5">
        <v>1</v>
      </c>
      <c r="B1073" s="6">
        <f>B1058</f>
        <v>4</v>
      </c>
      <c r="C1073" s="6">
        <f>C1058</f>
        <v>3</v>
      </c>
      <c r="D1073" s="8">
        <f>B1073*B1069+C1073*C1069+D1069</f>
        <v>0.41333333333332845</v>
      </c>
      <c r="E1073" s="6">
        <f>IF(D1073&gt;=0,$F$1,$E$1)</f>
        <v>1</v>
      </c>
      <c r="F1073" s="6">
        <f>$F$8</f>
        <v>1</v>
      </c>
      <c r="G1073" s="20" t="str">
        <f>IF(E1073&gt;0,"A","B")</f>
        <v>A</v>
      </c>
      <c r="H1073" s="20" t="str">
        <f>IF(F1073&gt;0,"A","B")</f>
        <v>A</v>
      </c>
      <c r="I1073" s="8">
        <f t="shared" ref="I1073:I1078" si="776">F1073-E1073</f>
        <v>0</v>
      </c>
      <c r="J1073" s="8">
        <f t="shared" ref="J1073:J1078" si="777">$C$1*I1073*B1073</f>
        <v>0</v>
      </c>
      <c r="K1073" s="9">
        <f t="shared" ref="K1073:K1078" si="778">$C$1*I1073*C1073</f>
        <v>0</v>
      </c>
    </row>
    <row r="1074" spans="1:11" x14ac:dyDescent="0.25">
      <c r="A1074" s="5">
        <v>2</v>
      </c>
      <c r="B1074" s="6">
        <f t="shared" ref="B1074:C1074" si="779">B1059</f>
        <v>1</v>
      </c>
      <c r="C1074" s="6">
        <f t="shared" si="779"/>
        <v>1</v>
      </c>
      <c r="D1074" s="8">
        <f>B1074*B1069+C1074*C1069+D1069</f>
        <v>-0.5733333333333348</v>
      </c>
      <c r="E1074" s="6">
        <f t="shared" ref="E1074:E1078" si="780">IF(D1074&gt;=0,$F$1,$E$1)</f>
        <v>-1</v>
      </c>
      <c r="F1074" s="6">
        <f>$F$9</f>
        <v>-1</v>
      </c>
      <c r="G1074" s="20" t="str">
        <f t="shared" ref="G1074:G1078" si="781">IF(E1074&gt;0,"A","B")</f>
        <v>B</v>
      </c>
      <c r="H1074" s="20" t="str">
        <f t="shared" ref="H1074:H1078" si="782">IF(F1074&gt;0,"A","B")</f>
        <v>B</v>
      </c>
      <c r="I1074" s="8">
        <f t="shared" si="776"/>
        <v>0</v>
      </c>
      <c r="J1074" s="8">
        <f t="shared" si="777"/>
        <v>0</v>
      </c>
      <c r="K1074" s="9">
        <f t="shared" si="778"/>
        <v>0</v>
      </c>
    </row>
    <row r="1075" spans="1:11" x14ac:dyDescent="0.25">
      <c r="A1075" s="5">
        <v>3</v>
      </c>
      <c r="B1075" s="6">
        <f t="shared" ref="B1075:C1075" si="783">B1060</f>
        <v>2</v>
      </c>
      <c r="C1075" s="6">
        <f t="shared" si="783"/>
        <v>2</v>
      </c>
      <c r="D1075" s="8">
        <f>B1075*B1069+C1075*C1069+D1069</f>
        <v>-0.14666666666666961</v>
      </c>
      <c r="E1075" s="6">
        <f t="shared" si="780"/>
        <v>-1</v>
      </c>
      <c r="F1075" s="6">
        <f>$F$10</f>
        <v>-1</v>
      </c>
      <c r="G1075" s="20" t="str">
        <f t="shared" si="781"/>
        <v>B</v>
      </c>
      <c r="H1075" s="20" t="str">
        <f t="shared" si="782"/>
        <v>B</v>
      </c>
      <c r="I1075" s="8">
        <f t="shared" si="776"/>
        <v>0</v>
      </c>
      <c r="J1075" s="8">
        <f t="shared" si="777"/>
        <v>0</v>
      </c>
      <c r="K1075" s="9">
        <f t="shared" si="778"/>
        <v>0</v>
      </c>
    </row>
    <row r="1076" spans="1:11" x14ac:dyDescent="0.25">
      <c r="A1076" s="5">
        <v>4</v>
      </c>
      <c r="B1076" s="6">
        <f t="shared" ref="B1076:C1076" si="784">B1061</f>
        <v>2</v>
      </c>
      <c r="C1076" s="6">
        <f t="shared" si="784"/>
        <v>3</v>
      </c>
      <c r="D1076" s="8">
        <f>B1076*B1069+C1076*C1069+D1069</f>
        <v>0.14666666666666273</v>
      </c>
      <c r="E1076" s="6">
        <f t="shared" si="780"/>
        <v>1</v>
      </c>
      <c r="F1076" s="6">
        <f>$F$11</f>
        <v>1</v>
      </c>
      <c r="G1076" s="20" t="str">
        <f t="shared" si="781"/>
        <v>A</v>
      </c>
      <c r="H1076" s="20" t="str">
        <f t="shared" si="782"/>
        <v>A</v>
      </c>
      <c r="I1076" s="8">
        <f t="shared" si="776"/>
        <v>0</v>
      </c>
      <c r="J1076" s="8">
        <f t="shared" si="777"/>
        <v>0</v>
      </c>
      <c r="K1076" s="9">
        <f t="shared" si="778"/>
        <v>0</v>
      </c>
    </row>
    <row r="1077" spans="1:11" x14ac:dyDescent="0.25">
      <c r="A1077" s="5">
        <v>5</v>
      </c>
      <c r="B1077" s="6">
        <f t="shared" ref="B1077:C1077" si="785">B1062</f>
        <v>5</v>
      </c>
      <c r="C1077" s="6">
        <f t="shared" si="785"/>
        <v>3</v>
      </c>
      <c r="D1077" s="8">
        <f>B1077*B1069+C1077*C1069+D1069</f>
        <v>0.54666666666666131</v>
      </c>
      <c r="E1077" s="6">
        <f t="shared" si="780"/>
        <v>1</v>
      </c>
      <c r="F1077" s="6">
        <f>$F$12</f>
        <v>1</v>
      </c>
      <c r="G1077" s="20" t="str">
        <f t="shared" si="781"/>
        <v>A</v>
      </c>
      <c r="H1077" s="20" t="str">
        <f t="shared" si="782"/>
        <v>A</v>
      </c>
      <c r="I1077" s="8">
        <f t="shared" si="776"/>
        <v>0</v>
      </c>
      <c r="J1077" s="8">
        <f t="shared" si="777"/>
        <v>0</v>
      </c>
      <c r="K1077" s="9">
        <f t="shared" si="778"/>
        <v>0</v>
      </c>
    </row>
    <row r="1078" spans="1:11" x14ac:dyDescent="0.25">
      <c r="A1078" s="5">
        <v>6</v>
      </c>
      <c r="B1078" s="6">
        <f t="shared" ref="B1078:C1078" si="786">B1063</f>
        <v>3</v>
      </c>
      <c r="C1078" s="6">
        <f t="shared" si="786"/>
        <v>2</v>
      </c>
      <c r="D1078" s="8">
        <f>B1078*B1069+C1078*C1069+D1069</f>
        <v>-1.333333333333675E-2</v>
      </c>
      <c r="E1078" s="6">
        <f t="shared" si="780"/>
        <v>-1</v>
      </c>
      <c r="F1078" s="6">
        <f>$F$13</f>
        <v>-1</v>
      </c>
      <c r="G1078" s="20" t="str">
        <f t="shared" si="781"/>
        <v>B</v>
      </c>
      <c r="H1078" s="20" t="str">
        <f t="shared" si="782"/>
        <v>B</v>
      </c>
      <c r="I1078" s="8">
        <f t="shared" si="776"/>
        <v>0</v>
      </c>
      <c r="J1078" s="8">
        <f t="shared" si="777"/>
        <v>0</v>
      </c>
      <c r="K1078" s="9">
        <f t="shared" si="778"/>
        <v>0</v>
      </c>
    </row>
    <row r="1079" spans="1:11" x14ac:dyDescent="0.25">
      <c r="A1079" s="5"/>
      <c r="B1079" s="6"/>
      <c r="C1079" s="6"/>
      <c r="D1079" s="6"/>
      <c r="E1079" s="6"/>
      <c r="F1079" s="6"/>
      <c r="G1079" s="20" t="s">
        <v>8</v>
      </c>
      <c r="H1079" s="20"/>
      <c r="I1079" s="8">
        <f>SUM(I1073:I1078)</f>
        <v>0</v>
      </c>
      <c r="J1079" s="8">
        <f>AVERAGE(J1073:J1078)</f>
        <v>0</v>
      </c>
      <c r="K1079" s="9">
        <f>AVERAGE(K1073:K1078)</f>
        <v>0</v>
      </c>
    </row>
    <row r="1080" spans="1:11" x14ac:dyDescent="0.25">
      <c r="A1080" s="5"/>
      <c r="B1080" s="6"/>
      <c r="C1080" s="6"/>
      <c r="D1080" s="6"/>
      <c r="E1080" s="6"/>
      <c r="F1080" s="6"/>
      <c r="G1080" s="20" t="s">
        <v>9</v>
      </c>
      <c r="H1080" s="20"/>
      <c r="I1080" s="8">
        <f>SUMSQ(I1073:I1078)</f>
        <v>0</v>
      </c>
      <c r="J1080" s="10"/>
      <c r="K1080" s="15"/>
    </row>
    <row r="1081" spans="1:11" x14ac:dyDescent="0.25">
      <c r="A1081" s="11"/>
      <c r="B1081" s="12"/>
      <c r="C1081" s="12"/>
      <c r="D1081" s="12"/>
      <c r="E1081" s="12"/>
      <c r="F1081" s="12"/>
      <c r="G1081" s="21"/>
      <c r="H1081" s="21"/>
      <c r="I1081" s="18"/>
      <c r="J1081" s="13"/>
      <c r="K1081" s="16"/>
    </row>
    <row r="1082" spans="1:11" x14ac:dyDescent="0.25">
      <c r="A1082" s="2" t="s">
        <v>13</v>
      </c>
      <c r="B1082" s="3">
        <f>B1067+1</f>
        <v>73</v>
      </c>
      <c r="C1082" s="3"/>
      <c r="D1082" s="3"/>
      <c r="E1082" s="3"/>
      <c r="F1082" s="3"/>
      <c r="G1082" s="19"/>
      <c r="H1082" s="19"/>
      <c r="I1082" s="17"/>
      <c r="J1082" s="3"/>
      <c r="K1082" s="4"/>
    </row>
    <row r="1083" spans="1:11" x14ac:dyDescent="0.25">
      <c r="A1083" s="5"/>
      <c r="B1083" s="6" t="s">
        <v>4</v>
      </c>
      <c r="C1083" s="6" t="s">
        <v>5</v>
      </c>
      <c r="D1083" s="6" t="s">
        <v>6</v>
      </c>
      <c r="E1083" s="6"/>
      <c r="F1083" s="6"/>
      <c r="G1083" s="20"/>
      <c r="H1083" s="20"/>
      <c r="I1083" s="8"/>
      <c r="J1083" s="6"/>
      <c r="K1083" s="7"/>
    </row>
    <row r="1084" spans="1:11" x14ac:dyDescent="0.25">
      <c r="A1084" s="5">
        <v>1</v>
      </c>
      <c r="B1084" s="14">
        <f>B1069+J1079</f>
        <v>0.13333333333333286</v>
      </c>
      <c r="C1084" s="14">
        <f>C1069+K1079</f>
        <v>0.29333333333333234</v>
      </c>
      <c r="D1084" s="6">
        <f>D1069</f>
        <v>-1</v>
      </c>
      <c r="E1084" s="6"/>
      <c r="F1084" s="6"/>
      <c r="G1084" s="20"/>
      <c r="H1084" s="20"/>
      <c r="I1084" s="8"/>
      <c r="J1084" s="6"/>
      <c r="K1084" s="7"/>
    </row>
    <row r="1085" spans="1:11" x14ac:dyDescent="0.25">
      <c r="A1085" s="5"/>
      <c r="B1085" s="6"/>
      <c r="C1085" s="6"/>
      <c r="D1085" s="6"/>
      <c r="E1085" s="6"/>
      <c r="F1085" s="6"/>
      <c r="G1085" s="20"/>
      <c r="H1085" s="20"/>
      <c r="I1085" s="8"/>
      <c r="J1085" s="6"/>
      <c r="K1085" s="7"/>
    </row>
    <row r="1086" spans="1:11" x14ac:dyDescent="0.25">
      <c r="A1086" s="5"/>
      <c r="B1086" s="6"/>
      <c r="C1086" s="6"/>
      <c r="D1086" s="6"/>
      <c r="E1086" s="6"/>
      <c r="F1086" s="6"/>
      <c r="G1086" s="20"/>
      <c r="H1086" s="20"/>
      <c r="I1086" s="8"/>
      <c r="J1086" s="6"/>
      <c r="K1086" s="7"/>
    </row>
    <row r="1087" spans="1:11" x14ac:dyDescent="0.25">
      <c r="A1087" s="5" t="s">
        <v>10</v>
      </c>
      <c r="B1087" s="6" t="s">
        <v>2</v>
      </c>
      <c r="C1087" s="6" t="s">
        <v>3</v>
      </c>
      <c r="D1087" s="6" t="s">
        <v>0</v>
      </c>
      <c r="E1087" s="6" t="s">
        <v>15</v>
      </c>
      <c r="F1087" s="6" t="s">
        <v>1</v>
      </c>
      <c r="G1087" s="20" t="s">
        <v>17</v>
      </c>
      <c r="H1087" s="20" t="s">
        <v>16</v>
      </c>
      <c r="I1087" s="8" t="s">
        <v>7</v>
      </c>
      <c r="J1087" s="6" t="s">
        <v>11</v>
      </c>
      <c r="K1087" s="7" t="s">
        <v>12</v>
      </c>
    </row>
    <row r="1088" spans="1:11" x14ac:dyDescent="0.25">
      <c r="A1088" s="5">
        <v>1</v>
      </c>
      <c r="B1088" s="6">
        <f>B1073</f>
        <v>4</v>
      </c>
      <c r="C1088" s="6">
        <f>C1073</f>
        <v>3</v>
      </c>
      <c r="D1088" s="8">
        <f>B1088*B1084+C1088*C1084+D1084</f>
        <v>0.41333333333332845</v>
      </c>
      <c r="E1088" s="6">
        <f>IF(D1088&gt;=0,$F$1,$E$1)</f>
        <v>1</v>
      </c>
      <c r="F1088" s="6">
        <f>$F$8</f>
        <v>1</v>
      </c>
      <c r="G1088" s="20" t="str">
        <f>IF(E1088&gt;0,"A","B")</f>
        <v>A</v>
      </c>
      <c r="H1088" s="20" t="str">
        <f>IF(F1088&gt;0,"A","B")</f>
        <v>A</v>
      </c>
      <c r="I1088" s="8">
        <f t="shared" ref="I1088:I1093" si="787">F1088-E1088</f>
        <v>0</v>
      </c>
      <c r="J1088" s="8">
        <f t="shared" ref="J1088:J1093" si="788">$C$1*I1088*B1088</f>
        <v>0</v>
      </c>
      <c r="K1088" s="9">
        <f t="shared" ref="K1088:K1093" si="789">$C$1*I1088*C1088</f>
        <v>0</v>
      </c>
    </row>
    <row r="1089" spans="1:11" x14ac:dyDescent="0.25">
      <c r="A1089" s="5">
        <v>2</v>
      </c>
      <c r="B1089" s="6">
        <f t="shared" ref="B1089:C1089" si="790">B1074</f>
        <v>1</v>
      </c>
      <c r="C1089" s="6">
        <f t="shared" si="790"/>
        <v>1</v>
      </c>
      <c r="D1089" s="8">
        <f>B1089*B1084+C1089*C1084+D1084</f>
        <v>-0.5733333333333348</v>
      </c>
      <c r="E1089" s="6">
        <f t="shared" ref="E1089:E1093" si="791">IF(D1089&gt;=0,$F$1,$E$1)</f>
        <v>-1</v>
      </c>
      <c r="F1089" s="6">
        <f>$F$9</f>
        <v>-1</v>
      </c>
      <c r="G1089" s="20" t="str">
        <f t="shared" ref="G1089:G1093" si="792">IF(E1089&gt;0,"A","B")</f>
        <v>B</v>
      </c>
      <c r="H1089" s="20" t="str">
        <f t="shared" ref="H1089:H1093" si="793">IF(F1089&gt;0,"A","B")</f>
        <v>B</v>
      </c>
      <c r="I1089" s="8">
        <f t="shared" si="787"/>
        <v>0</v>
      </c>
      <c r="J1089" s="8">
        <f t="shared" si="788"/>
        <v>0</v>
      </c>
      <c r="K1089" s="9">
        <f t="shared" si="789"/>
        <v>0</v>
      </c>
    </row>
    <row r="1090" spans="1:11" x14ac:dyDescent="0.25">
      <c r="A1090" s="5">
        <v>3</v>
      </c>
      <c r="B1090" s="6">
        <f t="shared" ref="B1090:C1090" si="794">B1075</f>
        <v>2</v>
      </c>
      <c r="C1090" s="6">
        <f t="shared" si="794"/>
        <v>2</v>
      </c>
      <c r="D1090" s="8">
        <f>B1090*B1084+C1090*C1084+D1084</f>
        <v>-0.14666666666666961</v>
      </c>
      <c r="E1090" s="6">
        <f t="shared" si="791"/>
        <v>-1</v>
      </c>
      <c r="F1090" s="6">
        <f>$F$10</f>
        <v>-1</v>
      </c>
      <c r="G1090" s="20" t="str">
        <f t="shared" si="792"/>
        <v>B</v>
      </c>
      <c r="H1090" s="20" t="str">
        <f t="shared" si="793"/>
        <v>B</v>
      </c>
      <c r="I1090" s="8">
        <f t="shared" si="787"/>
        <v>0</v>
      </c>
      <c r="J1090" s="8">
        <f t="shared" si="788"/>
        <v>0</v>
      </c>
      <c r="K1090" s="9">
        <f t="shared" si="789"/>
        <v>0</v>
      </c>
    </row>
    <row r="1091" spans="1:11" x14ac:dyDescent="0.25">
      <c r="A1091" s="5">
        <v>4</v>
      </c>
      <c r="B1091" s="6">
        <f t="shared" ref="B1091:C1091" si="795">B1076</f>
        <v>2</v>
      </c>
      <c r="C1091" s="6">
        <f t="shared" si="795"/>
        <v>3</v>
      </c>
      <c r="D1091" s="8">
        <f>B1091*B1084+C1091*C1084+D1084</f>
        <v>0.14666666666666273</v>
      </c>
      <c r="E1091" s="6">
        <f t="shared" si="791"/>
        <v>1</v>
      </c>
      <c r="F1091" s="6">
        <f>$F$11</f>
        <v>1</v>
      </c>
      <c r="G1091" s="20" t="str">
        <f t="shared" si="792"/>
        <v>A</v>
      </c>
      <c r="H1091" s="20" t="str">
        <f t="shared" si="793"/>
        <v>A</v>
      </c>
      <c r="I1091" s="8">
        <f t="shared" si="787"/>
        <v>0</v>
      </c>
      <c r="J1091" s="8">
        <f t="shared" si="788"/>
        <v>0</v>
      </c>
      <c r="K1091" s="9">
        <f t="shared" si="789"/>
        <v>0</v>
      </c>
    </row>
    <row r="1092" spans="1:11" x14ac:dyDescent="0.25">
      <c r="A1092" s="5">
        <v>5</v>
      </c>
      <c r="B1092" s="6">
        <f t="shared" ref="B1092:C1092" si="796">B1077</f>
        <v>5</v>
      </c>
      <c r="C1092" s="6">
        <f t="shared" si="796"/>
        <v>3</v>
      </c>
      <c r="D1092" s="8">
        <f>B1092*B1084+C1092*C1084+D1084</f>
        <v>0.54666666666666131</v>
      </c>
      <c r="E1092" s="6">
        <f t="shared" si="791"/>
        <v>1</v>
      </c>
      <c r="F1092" s="6">
        <f>$F$12</f>
        <v>1</v>
      </c>
      <c r="G1092" s="20" t="str">
        <f t="shared" si="792"/>
        <v>A</v>
      </c>
      <c r="H1092" s="20" t="str">
        <f t="shared" si="793"/>
        <v>A</v>
      </c>
      <c r="I1092" s="8">
        <f t="shared" si="787"/>
        <v>0</v>
      </c>
      <c r="J1092" s="8">
        <f t="shared" si="788"/>
        <v>0</v>
      </c>
      <c r="K1092" s="9">
        <f t="shared" si="789"/>
        <v>0</v>
      </c>
    </row>
    <row r="1093" spans="1:11" x14ac:dyDescent="0.25">
      <c r="A1093" s="5">
        <v>6</v>
      </c>
      <c r="B1093" s="6">
        <f t="shared" ref="B1093:C1093" si="797">B1078</f>
        <v>3</v>
      </c>
      <c r="C1093" s="6">
        <f t="shared" si="797"/>
        <v>2</v>
      </c>
      <c r="D1093" s="8">
        <f>B1093*B1084+C1093*C1084+D1084</f>
        <v>-1.333333333333675E-2</v>
      </c>
      <c r="E1093" s="6">
        <f t="shared" si="791"/>
        <v>-1</v>
      </c>
      <c r="F1093" s="6">
        <f>$F$13</f>
        <v>-1</v>
      </c>
      <c r="G1093" s="20" t="str">
        <f t="shared" si="792"/>
        <v>B</v>
      </c>
      <c r="H1093" s="20" t="str">
        <f t="shared" si="793"/>
        <v>B</v>
      </c>
      <c r="I1093" s="8">
        <f t="shared" si="787"/>
        <v>0</v>
      </c>
      <c r="J1093" s="8">
        <f t="shared" si="788"/>
        <v>0</v>
      </c>
      <c r="K1093" s="9">
        <f t="shared" si="789"/>
        <v>0</v>
      </c>
    </row>
    <row r="1094" spans="1:11" x14ac:dyDescent="0.25">
      <c r="A1094" s="5"/>
      <c r="B1094" s="6"/>
      <c r="C1094" s="6"/>
      <c r="D1094" s="6"/>
      <c r="E1094" s="6"/>
      <c r="F1094" s="6"/>
      <c r="G1094" s="20" t="s">
        <v>8</v>
      </c>
      <c r="H1094" s="20"/>
      <c r="I1094" s="8">
        <f>SUM(I1088:I1093)</f>
        <v>0</v>
      </c>
      <c r="J1094" s="8">
        <f>AVERAGE(J1088:J1093)</f>
        <v>0</v>
      </c>
      <c r="K1094" s="9">
        <f>AVERAGE(K1088:K1093)</f>
        <v>0</v>
      </c>
    </row>
    <row r="1095" spans="1:11" x14ac:dyDescent="0.25">
      <c r="A1095" s="5"/>
      <c r="B1095" s="6"/>
      <c r="C1095" s="6"/>
      <c r="D1095" s="6"/>
      <c r="E1095" s="6"/>
      <c r="F1095" s="6"/>
      <c r="G1095" s="20" t="s">
        <v>9</v>
      </c>
      <c r="H1095" s="20"/>
      <c r="I1095" s="8">
        <f>SUMSQ(I1088:I1093)</f>
        <v>0</v>
      </c>
      <c r="J1095" s="10"/>
      <c r="K1095" s="15"/>
    </row>
    <row r="1096" spans="1:11" x14ac:dyDescent="0.25">
      <c r="A1096" s="11"/>
      <c r="B1096" s="12"/>
      <c r="C1096" s="12"/>
      <c r="D1096" s="12"/>
      <c r="E1096" s="12"/>
      <c r="F1096" s="12"/>
      <c r="G1096" s="21"/>
      <c r="H1096" s="21"/>
      <c r="I1096" s="18"/>
      <c r="J1096" s="13"/>
      <c r="K1096" s="16"/>
    </row>
    <row r="1097" spans="1:11" x14ac:dyDescent="0.25">
      <c r="A1097" s="2" t="s">
        <v>13</v>
      </c>
      <c r="B1097" s="3">
        <f>B1082+1</f>
        <v>74</v>
      </c>
      <c r="C1097" s="3"/>
      <c r="D1097" s="3"/>
      <c r="E1097" s="3"/>
      <c r="F1097" s="3"/>
      <c r="G1097" s="19"/>
      <c r="H1097" s="19"/>
      <c r="I1097" s="17"/>
      <c r="J1097" s="3"/>
      <c r="K1097" s="4"/>
    </row>
    <row r="1098" spans="1:11" x14ac:dyDescent="0.25">
      <c r="A1098" s="5"/>
      <c r="B1098" s="6" t="s">
        <v>4</v>
      </c>
      <c r="C1098" s="6" t="s">
        <v>5</v>
      </c>
      <c r="D1098" s="6" t="s">
        <v>6</v>
      </c>
      <c r="E1098" s="6"/>
      <c r="F1098" s="6"/>
      <c r="G1098" s="20"/>
      <c r="H1098" s="20"/>
      <c r="I1098" s="8"/>
      <c r="J1098" s="6"/>
      <c r="K1098" s="7"/>
    </row>
    <row r="1099" spans="1:11" x14ac:dyDescent="0.25">
      <c r="A1099" s="5">
        <v>1</v>
      </c>
      <c r="B1099" s="14">
        <f>B1084+J1094</f>
        <v>0.13333333333333286</v>
      </c>
      <c r="C1099" s="14">
        <f>C1084+K1094</f>
        <v>0.29333333333333234</v>
      </c>
      <c r="D1099" s="6">
        <f>D1084</f>
        <v>-1</v>
      </c>
      <c r="E1099" s="6"/>
      <c r="F1099" s="6"/>
      <c r="G1099" s="20"/>
      <c r="H1099" s="20"/>
      <c r="I1099" s="8"/>
      <c r="J1099" s="6"/>
      <c r="K1099" s="7"/>
    </row>
    <row r="1100" spans="1:11" x14ac:dyDescent="0.25">
      <c r="A1100" s="5"/>
      <c r="B1100" s="6"/>
      <c r="C1100" s="6"/>
      <c r="D1100" s="6"/>
      <c r="E1100" s="6"/>
      <c r="F1100" s="6"/>
      <c r="G1100" s="20"/>
      <c r="H1100" s="20"/>
      <c r="I1100" s="8"/>
      <c r="J1100" s="6"/>
      <c r="K1100" s="7"/>
    </row>
    <row r="1101" spans="1:11" x14ac:dyDescent="0.25">
      <c r="A1101" s="5"/>
      <c r="B1101" s="6"/>
      <c r="C1101" s="6"/>
      <c r="D1101" s="6"/>
      <c r="E1101" s="6"/>
      <c r="F1101" s="6"/>
      <c r="G1101" s="20"/>
      <c r="H1101" s="20"/>
      <c r="I1101" s="8"/>
      <c r="J1101" s="6"/>
      <c r="K1101" s="7"/>
    </row>
    <row r="1102" spans="1:11" x14ac:dyDescent="0.25">
      <c r="A1102" s="5" t="s">
        <v>10</v>
      </c>
      <c r="B1102" s="6" t="s">
        <v>2</v>
      </c>
      <c r="C1102" s="6" t="s">
        <v>3</v>
      </c>
      <c r="D1102" s="6" t="s">
        <v>0</v>
      </c>
      <c r="E1102" s="6" t="s">
        <v>15</v>
      </c>
      <c r="F1102" s="6" t="s">
        <v>1</v>
      </c>
      <c r="G1102" s="20" t="s">
        <v>17</v>
      </c>
      <c r="H1102" s="20" t="s">
        <v>16</v>
      </c>
      <c r="I1102" s="8" t="s">
        <v>7</v>
      </c>
      <c r="J1102" s="6" t="s">
        <v>11</v>
      </c>
      <c r="K1102" s="7" t="s">
        <v>12</v>
      </c>
    </row>
    <row r="1103" spans="1:11" x14ac:dyDescent="0.25">
      <c r="A1103" s="5">
        <v>1</v>
      </c>
      <c r="B1103" s="6">
        <f>B1088</f>
        <v>4</v>
      </c>
      <c r="C1103" s="6">
        <f>C1088</f>
        <v>3</v>
      </c>
      <c r="D1103" s="8">
        <f>B1103*B1099+C1103*C1099+D1099</f>
        <v>0.41333333333332845</v>
      </c>
      <c r="E1103" s="6">
        <f>IF(D1103&gt;=0,$F$1,$E$1)</f>
        <v>1</v>
      </c>
      <c r="F1103" s="6">
        <f>$F$8</f>
        <v>1</v>
      </c>
      <c r="G1103" s="20" t="str">
        <f>IF(E1103&gt;0,"A","B")</f>
        <v>A</v>
      </c>
      <c r="H1103" s="20" t="str">
        <f>IF(F1103&gt;0,"A","B")</f>
        <v>A</v>
      </c>
      <c r="I1103" s="8">
        <f t="shared" ref="I1103:I1108" si="798">F1103-E1103</f>
        <v>0</v>
      </c>
      <c r="J1103" s="8">
        <f t="shared" ref="J1103:J1108" si="799">$C$1*I1103*B1103</f>
        <v>0</v>
      </c>
      <c r="K1103" s="9">
        <f t="shared" ref="K1103:K1108" si="800">$C$1*I1103*C1103</f>
        <v>0</v>
      </c>
    </row>
    <row r="1104" spans="1:11" x14ac:dyDescent="0.25">
      <c r="A1104" s="5">
        <v>2</v>
      </c>
      <c r="B1104" s="6">
        <f t="shared" ref="B1104:C1104" si="801">B1089</f>
        <v>1</v>
      </c>
      <c r="C1104" s="6">
        <f t="shared" si="801"/>
        <v>1</v>
      </c>
      <c r="D1104" s="8">
        <f>B1104*B1099+C1104*C1099+D1099</f>
        <v>-0.5733333333333348</v>
      </c>
      <c r="E1104" s="6">
        <f t="shared" ref="E1104:E1108" si="802">IF(D1104&gt;=0,$F$1,$E$1)</f>
        <v>-1</v>
      </c>
      <c r="F1104" s="6">
        <f>$F$9</f>
        <v>-1</v>
      </c>
      <c r="G1104" s="20" t="str">
        <f t="shared" ref="G1104:G1108" si="803">IF(E1104&gt;0,"A","B")</f>
        <v>B</v>
      </c>
      <c r="H1104" s="20" t="str">
        <f t="shared" ref="H1104:H1108" si="804">IF(F1104&gt;0,"A","B")</f>
        <v>B</v>
      </c>
      <c r="I1104" s="8">
        <f t="shared" si="798"/>
        <v>0</v>
      </c>
      <c r="J1104" s="8">
        <f t="shared" si="799"/>
        <v>0</v>
      </c>
      <c r="K1104" s="9">
        <f t="shared" si="800"/>
        <v>0</v>
      </c>
    </row>
    <row r="1105" spans="1:11" x14ac:dyDescent="0.25">
      <c r="A1105" s="5">
        <v>3</v>
      </c>
      <c r="B1105" s="6">
        <f t="shared" ref="B1105:C1105" si="805">B1090</f>
        <v>2</v>
      </c>
      <c r="C1105" s="6">
        <f t="shared" si="805"/>
        <v>2</v>
      </c>
      <c r="D1105" s="8">
        <f>B1105*B1099+C1105*C1099+D1099</f>
        <v>-0.14666666666666961</v>
      </c>
      <c r="E1105" s="6">
        <f t="shared" si="802"/>
        <v>-1</v>
      </c>
      <c r="F1105" s="6">
        <f>$F$10</f>
        <v>-1</v>
      </c>
      <c r="G1105" s="20" t="str">
        <f t="shared" si="803"/>
        <v>B</v>
      </c>
      <c r="H1105" s="20" t="str">
        <f t="shared" si="804"/>
        <v>B</v>
      </c>
      <c r="I1105" s="8">
        <f t="shared" si="798"/>
        <v>0</v>
      </c>
      <c r="J1105" s="8">
        <f t="shared" si="799"/>
        <v>0</v>
      </c>
      <c r="K1105" s="9">
        <f t="shared" si="800"/>
        <v>0</v>
      </c>
    </row>
    <row r="1106" spans="1:11" x14ac:dyDescent="0.25">
      <c r="A1106" s="5">
        <v>4</v>
      </c>
      <c r="B1106" s="6">
        <f t="shared" ref="B1106:C1106" si="806">B1091</f>
        <v>2</v>
      </c>
      <c r="C1106" s="6">
        <f t="shared" si="806"/>
        <v>3</v>
      </c>
      <c r="D1106" s="8">
        <f>B1106*B1099+C1106*C1099+D1099</f>
        <v>0.14666666666666273</v>
      </c>
      <c r="E1106" s="6">
        <f t="shared" si="802"/>
        <v>1</v>
      </c>
      <c r="F1106" s="6">
        <f>$F$11</f>
        <v>1</v>
      </c>
      <c r="G1106" s="20" t="str">
        <f t="shared" si="803"/>
        <v>A</v>
      </c>
      <c r="H1106" s="20" t="str">
        <f t="shared" si="804"/>
        <v>A</v>
      </c>
      <c r="I1106" s="8">
        <f t="shared" si="798"/>
        <v>0</v>
      </c>
      <c r="J1106" s="8">
        <f t="shared" si="799"/>
        <v>0</v>
      </c>
      <c r="K1106" s="9">
        <f t="shared" si="800"/>
        <v>0</v>
      </c>
    </row>
    <row r="1107" spans="1:11" x14ac:dyDescent="0.25">
      <c r="A1107" s="5">
        <v>5</v>
      </c>
      <c r="B1107" s="6">
        <f t="shared" ref="B1107:C1107" si="807">B1092</f>
        <v>5</v>
      </c>
      <c r="C1107" s="6">
        <f t="shared" si="807"/>
        <v>3</v>
      </c>
      <c r="D1107" s="8">
        <f>B1107*B1099+C1107*C1099+D1099</f>
        <v>0.54666666666666131</v>
      </c>
      <c r="E1107" s="6">
        <f t="shared" si="802"/>
        <v>1</v>
      </c>
      <c r="F1107" s="6">
        <f>$F$12</f>
        <v>1</v>
      </c>
      <c r="G1107" s="20" t="str">
        <f t="shared" si="803"/>
        <v>A</v>
      </c>
      <c r="H1107" s="20" t="str">
        <f t="shared" si="804"/>
        <v>A</v>
      </c>
      <c r="I1107" s="8">
        <f t="shared" si="798"/>
        <v>0</v>
      </c>
      <c r="J1107" s="8">
        <f t="shared" si="799"/>
        <v>0</v>
      </c>
      <c r="K1107" s="9">
        <f t="shared" si="800"/>
        <v>0</v>
      </c>
    </row>
    <row r="1108" spans="1:11" x14ac:dyDescent="0.25">
      <c r="A1108" s="5">
        <v>6</v>
      </c>
      <c r="B1108" s="6">
        <f t="shared" ref="B1108:C1108" si="808">B1093</f>
        <v>3</v>
      </c>
      <c r="C1108" s="6">
        <f t="shared" si="808"/>
        <v>2</v>
      </c>
      <c r="D1108" s="8">
        <f>B1108*B1099+C1108*C1099+D1099</f>
        <v>-1.333333333333675E-2</v>
      </c>
      <c r="E1108" s="6">
        <f t="shared" si="802"/>
        <v>-1</v>
      </c>
      <c r="F1108" s="6">
        <f>$F$13</f>
        <v>-1</v>
      </c>
      <c r="G1108" s="20" t="str">
        <f t="shared" si="803"/>
        <v>B</v>
      </c>
      <c r="H1108" s="20" t="str">
        <f t="shared" si="804"/>
        <v>B</v>
      </c>
      <c r="I1108" s="8">
        <f t="shared" si="798"/>
        <v>0</v>
      </c>
      <c r="J1108" s="8">
        <f t="shared" si="799"/>
        <v>0</v>
      </c>
      <c r="K1108" s="9">
        <f t="shared" si="800"/>
        <v>0</v>
      </c>
    </row>
    <row r="1109" spans="1:11" x14ac:dyDescent="0.25">
      <c r="A1109" s="5"/>
      <c r="B1109" s="6"/>
      <c r="C1109" s="6"/>
      <c r="D1109" s="6"/>
      <c r="E1109" s="6"/>
      <c r="F1109" s="6"/>
      <c r="G1109" s="20" t="s">
        <v>8</v>
      </c>
      <c r="H1109" s="20"/>
      <c r="I1109" s="8">
        <f>SUM(I1103:I1108)</f>
        <v>0</v>
      </c>
      <c r="J1109" s="8">
        <f>AVERAGE(J1103:J1108)</f>
        <v>0</v>
      </c>
      <c r="K1109" s="9">
        <f>AVERAGE(K1103:K1108)</f>
        <v>0</v>
      </c>
    </row>
    <row r="1110" spans="1:11" x14ac:dyDescent="0.25">
      <c r="A1110" s="5"/>
      <c r="B1110" s="6"/>
      <c r="C1110" s="6"/>
      <c r="D1110" s="6"/>
      <c r="E1110" s="6"/>
      <c r="F1110" s="6"/>
      <c r="G1110" s="20" t="s">
        <v>9</v>
      </c>
      <c r="H1110" s="20"/>
      <c r="I1110" s="8">
        <f>SUMSQ(I1103:I1108)</f>
        <v>0</v>
      </c>
      <c r="J1110" s="10"/>
      <c r="K1110" s="15"/>
    </row>
    <row r="1111" spans="1:11" x14ac:dyDescent="0.25">
      <c r="A1111" s="11"/>
      <c r="B1111" s="12"/>
      <c r="C1111" s="12"/>
      <c r="D1111" s="12"/>
      <c r="E1111" s="12"/>
      <c r="F1111" s="12"/>
      <c r="G1111" s="21"/>
      <c r="H1111" s="21"/>
      <c r="I1111" s="18"/>
      <c r="J1111" s="13"/>
      <c r="K1111" s="16"/>
    </row>
    <row r="1112" spans="1:11" x14ac:dyDescent="0.25">
      <c r="A1112" s="2" t="s">
        <v>13</v>
      </c>
      <c r="B1112" s="3">
        <f>B1097+1</f>
        <v>75</v>
      </c>
      <c r="C1112" s="3"/>
      <c r="D1112" s="3"/>
      <c r="E1112" s="3"/>
      <c r="F1112" s="3"/>
      <c r="G1112" s="19"/>
      <c r="H1112" s="19"/>
      <c r="I1112" s="17"/>
      <c r="J1112" s="3"/>
      <c r="K1112" s="4"/>
    </row>
    <row r="1113" spans="1:11" x14ac:dyDescent="0.25">
      <c r="A1113" s="5"/>
      <c r="B1113" s="6" t="s">
        <v>4</v>
      </c>
      <c r="C1113" s="6" t="s">
        <v>5</v>
      </c>
      <c r="D1113" s="6" t="s">
        <v>6</v>
      </c>
      <c r="E1113" s="6"/>
      <c r="F1113" s="6"/>
      <c r="G1113" s="20"/>
      <c r="H1113" s="20"/>
      <c r="I1113" s="8"/>
      <c r="J1113" s="6"/>
      <c r="K1113" s="7"/>
    </row>
    <row r="1114" spans="1:11" x14ac:dyDescent="0.25">
      <c r="A1114" s="5">
        <v>1</v>
      </c>
      <c r="B1114" s="14">
        <f>B1099+J1109</f>
        <v>0.13333333333333286</v>
      </c>
      <c r="C1114" s="14">
        <f>C1099+K1109</f>
        <v>0.29333333333333234</v>
      </c>
      <c r="D1114" s="6">
        <f>D1099</f>
        <v>-1</v>
      </c>
      <c r="E1114" s="6"/>
      <c r="F1114" s="6"/>
      <c r="G1114" s="20"/>
      <c r="H1114" s="20"/>
      <c r="I1114" s="8"/>
      <c r="J1114" s="6"/>
      <c r="K1114" s="7"/>
    </row>
    <row r="1115" spans="1:11" x14ac:dyDescent="0.25">
      <c r="A1115" s="5"/>
      <c r="B1115" s="6"/>
      <c r="C1115" s="6"/>
      <c r="D1115" s="6"/>
      <c r="E1115" s="6"/>
      <c r="F1115" s="6"/>
      <c r="G1115" s="20"/>
      <c r="H1115" s="20"/>
      <c r="I1115" s="8"/>
      <c r="J1115" s="6"/>
      <c r="K1115" s="7"/>
    </row>
    <row r="1116" spans="1:11" x14ac:dyDescent="0.25">
      <c r="A1116" s="5"/>
      <c r="B1116" s="6"/>
      <c r="C1116" s="6"/>
      <c r="D1116" s="6"/>
      <c r="E1116" s="6"/>
      <c r="F1116" s="6"/>
      <c r="G1116" s="20"/>
      <c r="H1116" s="20"/>
      <c r="I1116" s="8"/>
      <c r="J1116" s="6"/>
      <c r="K1116" s="7"/>
    </row>
    <row r="1117" spans="1:11" x14ac:dyDescent="0.25">
      <c r="A1117" s="5" t="s">
        <v>10</v>
      </c>
      <c r="B1117" s="6" t="s">
        <v>2</v>
      </c>
      <c r="C1117" s="6" t="s">
        <v>3</v>
      </c>
      <c r="D1117" s="6" t="s">
        <v>0</v>
      </c>
      <c r="E1117" s="6" t="s">
        <v>15</v>
      </c>
      <c r="F1117" s="6" t="s">
        <v>1</v>
      </c>
      <c r="G1117" s="20" t="s">
        <v>17</v>
      </c>
      <c r="H1117" s="20" t="s">
        <v>16</v>
      </c>
      <c r="I1117" s="8" t="s">
        <v>7</v>
      </c>
      <c r="J1117" s="6" t="s">
        <v>11</v>
      </c>
      <c r="K1117" s="7" t="s">
        <v>12</v>
      </c>
    </row>
    <row r="1118" spans="1:11" x14ac:dyDescent="0.25">
      <c r="A1118" s="5">
        <v>1</v>
      </c>
      <c r="B1118" s="6">
        <f>B1103</f>
        <v>4</v>
      </c>
      <c r="C1118" s="6">
        <f>C1103</f>
        <v>3</v>
      </c>
      <c r="D1118" s="8">
        <f>B1118*B1114+C1118*C1114+D1114</f>
        <v>0.41333333333332845</v>
      </c>
      <c r="E1118" s="6">
        <f>IF(D1118&gt;=0,$F$1,$E$1)</f>
        <v>1</v>
      </c>
      <c r="F1118" s="6">
        <f>$F$8</f>
        <v>1</v>
      </c>
      <c r="G1118" s="20" t="str">
        <f>IF(E1118&gt;0,"A","B")</f>
        <v>A</v>
      </c>
      <c r="H1118" s="20" t="str">
        <f>IF(F1118&gt;0,"A","B")</f>
        <v>A</v>
      </c>
      <c r="I1118" s="8">
        <f t="shared" ref="I1118:I1123" si="809">F1118-E1118</f>
        <v>0</v>
      </c>
      <c r="J1118" s="8">
        <f t="shared" ref="J1118:J1123" si="810">$C$1*I1118*B1118</f>
        <v>0</v>
      </c>
      <c r="K1118" s="9">
        <f t="shared" ref="K1118:K1123" si="811">$C$1*I1118*C1118</f>
        <v>0</v>
      </c>
    </row>
    <row r="1119" spans="1:11" x14ac:dyDescent="0.25">
      <c r="A1119" s="5">
        <v>2</v>
      </c>
      <c r="B1119" s="6">
        <f t="shared" ref="B1119:C1119" si="812">B1104</f>
        <v>1</v>
      </c>
      <c r="C1119" s="6">
        <f t="shared" si="812"/>
        <v>1</v>
      </c>
      <c r="D1119" s="8">
        <f>B1119*B1114+C1119*C1114+D1114</f>
        <v>-0.5733333333333348</v>
      </c>
      <c r="E1119" s="6">
        <f t="shared" ref="E1119:E1123" si="813">IF(D1119&gt;=0,$F$1,$E$1)</f>
        <v>-1</v>
      </c>
      <c r="F1119" s="6">
        <f>$F$9</f>
        <v>-1</v>
      </c>
      <c r="G1119" s="20" t="str">
        <f t="shared" ref="G1119:G1123" si="814">IF(E1119&gt;0,"A","B")</f>
        <v>B</v>
      </c>
      <c r="H1119" s="20" t="str">
        <f t="shared" ref="H1119:H1123" si="815">IF(F1119&gt;0,"A","B")</f>
        <v>B</v>
      </c>
      <c r="I1119" s="8">
        <f t="shared" si="809"/>
        <v>0</v>
      </c>
      <c r="J1119" s="8">
        <f t="shared" si="810"/>
        <v>0</v>
      </c>
      <c r="K1119" s="9">
        <f t="shared" si="811"/>
        <v>0</v>
      </c>
    </row>
    <row r="1120" spans="1:11" x14ac:dyDescent="0.25">
      <c r="A1120" s="5">
        <v>3</v>
      </c>
      <c r="B1120" s="6">
        <f t="shared" ref="B1120:C1120" si="816">B1105</f>
        <v>2</v>
      </c>
      <c r="C1120" s="6">
        <f t="shared" si="816"/>
        <v>2</v>
      </c>
      <c r="D1120" s="8">
        <f>B1120*B1114+C1120*C1114+D1114</f>
        <v>-0.14666666666666961</v>
      </c>
      <c r="E1120" s="6">
        <f t="shared" si="813"/>
        <v>-1</v>
      </c>
      <c r="F1120" s="6">
        <f>$F$10</f>
        <v>-1</v>
      </c>
      <c r="G1120" s="20" t="str">
        <f t="shared" si="814"/>
        <v>B</v>
      </c>
      <c r="H1120" s="20" t="str">
        <f t="shared" si="815"/>
        <v>B</v>
      </c>
      <c r="I1120" s="8">
        <f t="shared" si="809"/>
        <v>0</v>
      </c>
      <c r="J1120" s="8">
        <f t="shared" si="810"/>
        <v>0</v>
      </c>
      <c r="K1120" s="9">
        <f t="shared" si="811"/>
        <v>0</v>
      </c>
    </row>
    <row r="1121" spans="1:11" x14ac:dyDescent="0.25">
      <c r="A1121" s="5">
        <v>4</v>
      </c>
      <c r="B1121" s="6">
        <f t="shared" ref="B1121:C1121" si="817">B1106</f>
        <v>2</v>
      </c>
      <c r="C1121" s="6">
        <f t="shared" si="817"/>
        <v>3</v>
      </c>
      <c r="D1121" s="8">
        <f>B1121*B1114+C1121*C1114+D1114</f>
        <v>0.14666666666666273</v>
      </c>
      <c r="E1121" s="6">
        <f t="shared" si="813"/>
        <v>1</v>
      </c>
      <c r="F1121" s="6">
        <f>$F$11</f>
        <v>1</v>
      </c>
      <c r="G1121" s="20" t="str">
        <f t="shared" si="814"/>
        <v>A</v>
      </c>
      <c r="H1121" s="20" t="str">
        <f t="shared" si="815"/>
        <v>A</v>
      </c>
      <c r="I1121" s="8">
        <f t="shared" si="809"/>
        <v>0</v>
      </c>
      <c r="J1121" s="8">
        <f t="shared" si="810"/>
        <v>0</v>
      </c>
      <c r="K1121" s="9">
        <f t="shared" si="811"/>
        <v>0</v>
      </c>
    </row>
    <row r="1122" spans="1:11" x14ac:dyDescent="0.25">
      <c r="A1122" s="5">
        <v>5</v>
      </c>
      <c r="B1122" s="6">
        <f t="shared" ref="B1122:C1122" si="818">B1107</f>
        <v>5</v>
      </c>
      <c r="C1122" s="6">
        <f t="shared" si="818"/>
        <v>3</v>
      </c>
      <c r="D1122" s="8">
        <f>B1122*B1114+C1122*C1114+D1114</f>
        <v>0.54666666666666131</v>
      </c>
      <c r="E1122" s="6">
        <f t="shared" si="813"/>
        <v>1</v>
      </c>
      <c r="F1122" s="6">
        <f>$F$12</f>
        <v>1</v>
      </c>
      <c r="G1122" s="20" t="str">
        <f t="shared" si="814"/>
        <v>A</v>
      </c>
      <c r="H1122" s="20" t="str">
        <f t="shared" si="815"/>
        <v>A</v>
      </c>
      <c r="I1122" s="8">
        <f t="shared" si="809"/>
        <v>0</v>
      </c>
      <c r="J1122" s="8">
        <f t="shared" si="810"/>
        <v>0</v>
      </c>
      <c r="K1122" s="9">
        <f t="shared" si="811"/>
        <v>0</v>
      </c>
    </row>
    <row r="1123" spans="1:11" x14ac:dyDescent="0.25">
      <c r="A1123" s="5">
        <v>6</v>
      </c>
      <c r="B1123" s="6">
        <f t="shared" ref="B1123:C1123" si="819">B1108</f>
        <v>3</v>
      </c>
      <c r="C1123" s="6">
        <f t="shared" si="819"/>
        <v>2</v>
      </c>
      <c r="D1123" s="8">
        <f>B1123*B1114+C1123*C1114+D1114</f>
        <v>-1.333333333333675E-2</v>
      </c>
      <c r="E1123" s="6">
        <f t="shared" si="813"/>
        <v>-1</v>
      </c>
      <c r="F1123" s="6">
        <f>$F$13</f>
        <v>-1</v>
      </c>
      <c r="G1123" s="20" t="str">
        <f t="shared" si="814"/>
        <v>B</v>
      </c>
      <c r="H1123" s="20" t="str">
        <f t="shared" si="815"/>
        <v>B</v>
      </c>
      <c r="I1123" s="8">
        <f t="shared" si="809"/>
        <v>0</v>
      </c>
      <c r="J1123" s="8">
        <f t="shared" si="810"/>
        <v>0</v>
      </c>
      <c r="K1123" s="9">
        <f t="shared" si="811"/>
        <v>0</v>
      </c>
    </row>
    <row r="1124" spans="1:11" x14ac:dyDescent="0.25">
      <c r="A1124" s="5"/>
      <c r="B1124" s="6"/>
      <c r="C1124" s="6"/>
      <c r="D1124" s="6"/>
      <c r="E1124" s="6"/>
      <c r="F1124" s="6"/>
      <c r="G1124" s="20" t="s">
        <v>8</v>
      </c>
      <c r="H1124" s="20"/>
      <c r="I1124" s="8">
        <f>SUM(I1118:I1123)</f>
        <v>0</v>
      </c>
      <c r="J1124" s="8">
        <f>AVERAGE(J1118:J1123)</f>
        <v>0</v>
      </c>
      <c r="K1124" s="9">
        <f>AVERAGE(K1118:K1123)</f>
        <v>0</v>
      </c>
    </row>
    <row r="1125" spans="1:11" x14ac:dyDescent="0.25">
      <c r="A1125" s="5"/>
      <c r="B1125" s="6"/>
      <c r="C1125" s="6"/>
      <c r="D1125" s="6"/>
      <c r="E1125" s="6"/>
      <c r="F1125" s="6"/>
      <c r="G1125" s="20" t="s">
        <v>9</v>
      </c>
      <c r="H1125" s="20"/>
      <c r="I1125" s="8">
        <f>SUMSQ(I1118:I1123)</f>
        <v>0</v>
      </c>
      <c r="J1125" s="10"/>
      <c r="K1125" s="15"/>
    </row>
    <row r="1126" spans="1:11" x14ac:dyDescent="0.25">
      <c r="A1126" s="11"/>
      <c r="B1126" s="12"/>
      <c r="C1126" s="12"/>
      <c r="D1126" s="12"/>
      <c r="E1126" s="12"/>
      <c r="F1126" s="12"/>
      <c r="G1126" s="21"/>
      <c r="H1126" s="21"/>
      <c r="I1126" s="18"/>
      <c r="J1126" s="13"/>
      <c r="K1126" s="16"/>
    </row>
    <row r="1127" spans="1:11" x14ac:dyDescent="0.25">
      <c r="A1127" s="2" t="s">
        <v>13</v>
      </c>
      <c r="B1127" s="3">
        <f>B1112+1</f>
        <v>76</v>
      </c>
      <c r="C1127" s="3"/>
      <c r="D1127" s="3"/>
      <c r="E1127" s="3"/>
      <c r="F1127" s="3"/>
      <c r="G1127" s="19"/>
      <c r="H1127" s="19"/>
      <c r="I1127" s="17"/>
      <c r="J1127" s="3"/>
      <c r="K1127" s="4"/>
    </row>
    <row r="1128" spans="1:11" x14ac:dyDescent="0.25">
      <c r="A1128" s="5"/>
      <c r="B1128" s="6" t="s">
        <v>4</v>
      </c>
      <c r="C1128" s="6" t="s">
        <v>5</v>
      </c>
      <c r="D1128" s="6" t="s">
        <v>6</v>
      </c>
      <c r="E1128" s="6"/>
      <c r="F1128" s="6"/>
      <c r="G1128" s="20"/>
      <c r="H1128" s="20"/>
      <c r="I1128" s="8"/>
      <c r="J1128" s="6"/>
      <c r="K1128" s="7"/>
    </row>
    <row r="1129" spans="1:11" x14ac:dyDescent="0.25">
      <c r="A1129" s="5">
        <v>1</v>
      </c>
      <c r="B1129" s="14">
        <f>B1114+J1124</f>
        <v>0.13333333333333286</v>
      </c>
      <c r="C1129" s="14">
        <f>C1114+K1124</f>
        <v>0.29333333333333234</v>
      </c>
      <c r="D1129" s="6">
        <f>D1114</f>
        <v>-1</v>
      </c>
      <c r="E1129" s="6"/>
      <c r="F1129" s="6"/>
      <c r="G1129" s="20"/>
      <c r="H1129" s="20"/>
      <c r="I1129" s="8"/>
      <c r="J1129" s="6"/>
      <c r="K1129" s="7"/>
    </row>
    <row r="1130" spans="1:11" x14ac:dyDescent="0.25">
      <c r="A1130" s="5"/>
      <c r="B1130" s="6"/>
      <c r="C1130" s="6"/>
      <c r="D1130" s="6"/>
      <c r="E1130" s="6"/>
      <c r="F1130" s="6"/>
      <c r="G1130" s="20"/>
      <c r="H1130" s="20"/>
      <c r="I1130" s="8"/>
      <c r="J1130" s="6"/>
      <c r="K1130" s="7"/>
    </row>
    <row r="1131" spans="1:11" x14ac:dyDescent="0.25">
      <c r="A1131" s="5"/>
      <c r="B1131" s="6"/>
      <c r="C1131" s="6"/>
      <c r="D1131" s="6"/>
      <c r="E1131" s="6"/>
      <c r="F1131" s="6"/>
      <c r="G1131" s="20"/>
      <c r="H1131" s="20"/>
      <c r="I1131" s="8"/>
      <c r="J1131" s="6"/>
      <c r="K1131" s="7"/>
    </row>
    <row r="1132" spans="1:11" x14ac:dyDescent="0.25">
      <c r="A1132" s="5" t="s">
        <v>10</v>
      </c>
      <c r="B1132" s="6" t="s">
        <v>2</v>
      </c>
      <c r="C1132" s="6" t="s">
        <v>3</v>
      </c>
      <c r="D1132" s="6" t="s">
        <v>0</v>
      </c>
      <c r="E1132" s="6" t="s">
        <v>15</v>
      </c>
      <c r="F1132" s="6" t="s">
        <v>1</v>
      </c>
      <c r="G1132" s="20" t="s">
        <v>17</v>
      </c>
      <c r="H1132" s="20" t="s">
        <v>16</v>
      </c>
      <c r="I1132" s="8" t="s">
        <v>7</v>
      </c>
      <c r="J1132" s="6" t="s">
        <v>11</v>
      </c>
      <c r="K1132" s="7" t="s">
        <v>12</v>
      </c>
    </row>
    <row r="1133" spans="1:11" x14ac:dyDescent="0.25">
      <c r="A1133" s="5">
        <v>1</v>
      </c>
      <c r="B1133" s="6">
        <f>B1118</f>
        <v>4</v>
      </c>
      <c r="C1133" s="6">
        <f>C1118</f>
        <v>3</v>
      </c>
      <c r="D1133" s="8">
        <f>B1133*B1129+C1133*C1129+D1129</f>
        <v>0.41333333333332845</v>
      </c>
      <c r="E1133" s="6">
        <f>IF(D1133&gt;=0,$F$1,$E$1)</f>
        <v>1</v>
      </c>
      <c r="F1133" s="6">
        <f>$F$8</f>
        <v>1</v>
      </c>
      <c r="G1133" s="20" t="str">
        <f>IF(E1133&gt;0,"A","B")</f>
        <v>A</v>
      </c>
      <c r="H1133" s="20" t="str">
        <f>IF(F1133&gt;0,"A","B")</f>
        <v>A</v>
      </c>
      <c r="I1133" s="8">
        <f t="shared" ref="I1133:I1138" si="820">F1133-E1133</f>
        <v>0</v>
      </c>
      <c r="J1133" s="8">
        <f t="shared" ref="J1133:J1138" si="821">$C$1*I1133*B1133</f>
        <v>0</v>
      </c>
      <c r="K1133" s="9">
        <f t="shared" ref="K1133:K1138" si="822">$C$1*I1133*C1133</f>
        <v>0</v>
      </c>
    </row>
    <row r="1134" spans="1:11" x14ac:dyDescent="0.25">
      <c r="A1134" s="5">
        <v>2</v>
      </c>
      <c r="B1134" s="6">
        <f t="shared" ref="B1134:C1134" si="823">B1119</f>
        <v>1</v>
      </c>
      <c r="C1134" s="6">
        <f t="shared" si="823"/>
        <v>1</v>
      </c>
      <c r="D1134" s="8">
        <f>B1134*B1129+C1134*C1129+D1129</f>
        <v>-0.5733333333333348</v>
      </c>
      <c r="E1134" s="6">
        <f t="shared" ref="E1134:E1138" si="824">IF(D1134&gt;=0,$F$1,$E$1)</f>
        <v>-1</v>
      </c>
      <c r="F1134" s="6">
        <f>$F$9</f>
        <v>-1</v>
      </c>
      <c r="G1134" s="20" t="str">
        <f t="shared" ref="G1134:G1138" si="825">IF(E1134&gt;0,"A","B")</f>
        <v>B</v>
      </c>
      <c r="H1134" s="20" t="str">
        <f t="shared" ref="H1134:H1138" si="826">IF(F1134&gt;0,"A","B")</f>
        <v>B</v>
      </c>
      <c r="I1134" s="8">
        <f t="shared" si="820"/>
        <v>0</v>
      </c>
      <c r="J1134" s="8">
        <f t="shared" si="821"/>
        <v>0</v>
      </c>
      <c r="K1134" s="9">
        <f t="shared" si="822"/>
        <v>0</v>
      </c>
    </row>
    <row r="1135" spans="1:11" x14ac:dyDescent="0.25">
      <c r="A1135" s="5">
        <v>3</v>
      </c>
      <c r="B1135" s="6">
        <f t="shared" ref="B1135:C1135" si="827">B1120</f>
        <v>2</v>
      </c>
      <c r="C1135" s="6">
        <f t="shared" si="827"/>
        <v>2</v>
      </c>
      <c r="D1135" s="8">
        <f>B1135*B1129+C1135*C1129+D1129</f>
        <v>-0.14666666666666961</v>
      </c>
      <c r="E1135" s="6">
        <f t="shared" si="824"/>
        <v>-1</v>
      </c>
      <c r="F1135" s="6">
        <f>$F$10</f>
        <v>-1</v>
      </c>
      <c r="G1135" s="20" t="str">
        <f t="shared" si="825"/>
        <v>B</v>
      </c>
      <c r="H1135" s="20" t="str">
        <f t="shared" si="826"/>
        <v>B</v>
      </c>
      <c r="I1135" s="8">
        <f t="shared" si="820"/>
        <v>0</v>
      </c>
      <c r="J1135" s="8">
        <f t="shared" si="821"/>
        <v>0</v>
      </c>
      <c r="K1135" s="9">
        <f t="shared" si="822"/>
        <v>0</v>
      </c>
    </row>
    <row r="1136" spans="1:11" x14ac:dyDescent="0.25">
      <c r="A1136" s="5">
        <v>4</v>
      </c>
      <c r="B1136" s="6">
        <f t="shared" ref="B1136:C1136" si="828">B1121</f>
        <v>2</v>
      </c>
      <c r="C1136" s="6">
        <f t="shared" si="828"/>
        <v>3</v>
      </c>
      <c r="D1136" s="8">
        <f>B1136*B1129+C1136*C1129+D1129</f>
        <v>0.14666666666666273</v>
      </c>
      <c r="E1136" s="6">
        <f t="shared" si="824"/>
        <v>1</v>
      </c>
      <c r="F1136" s="6">
        <f>$F$11</f>
        <v>1</v>
      </c>
      <c r="G1136" s="20" t="str">
        <f t="shared" si="825"/>
        <v>A</v>
      </c>
      <c r="H1136" s="20" t="str">
        <f t="shared" si="826"/>
        <v>A</v>
      </c>
      <c r="I1136" s="8">
        <f t="shared" si="820"/>
        <v>0</v>
      </c>
      <c r="J1136" s="8">
        <f t="shared" si="821"/>
        <v>0</v>
      </c>
      <c r="K1136" s="9">
        <f t="shared" si="822"/>
        <v>0</v>
      </c>
    </row>
    <row r="1137" spans="1:11" x14ac:dyDescent="0.25">
      <c r="A1137" s="5">
        <v>5</v>
      </c>
      <c r="B1137" s="6">
        <f t="shared" ref="B1137:C1137" si="829">B1122</f>
        <v>5</v>
      </c>
      <c r="C1137" s="6">
        <f t="shared" si="829"/>
        <v>3</v>
      </c>
      <c r="D1137" s="8">
        <f>B1137*B1129+C1137*C1129+D1129</f>
        <v>0.54666666666666131</v>
      </c>
      <c r="E1137" s="6">
        <f t="shared" si="824"/>
        <v>1</v>
      </c>
      <c r="F1137" s="6">
        <f>$F$12</f>
        <v>1</v>
      </c>
      <c r="G1137" s="20" t="str">
        <f t="shared" si="825"/>
        <v>A</v>
      </c>
      <c r="H1137" s="20" t="str">
        <f t="shared" si="826"/>
        <v>A</v>
      </c>
      <c r="I1137" s="8">
        <f t="shared" si="820"/>
        <v>0</v>
      </c>
      <c r="J1137" s="8">
        <f t="shared" si="821"/>
        <v>0</v>
      </c>
      <c r="K1137" s="9">
        <f t="shared" si="822"/>
        <v>0</v>
      </c>
    </row>
    <row r="1138" spans="1:11" x14ac:dyDescent="0.25">
      <c r="A1138" s="5">
        <v>6</v>
      </c>
      <c r="B1138" s="6">
        <f t="shared" ref="B1138:C1138" si="830">B1123</f>
        <v>3</v>
      </c>
      <c r="C1138" s="6">
        <f t="shared" si="830"/>
        <v>2</v>
      </c>
      <c r="D1138" s="8">
        <f>B1138*B1129+C1138*C1129+D1129</f>
        <v>-1.333333333333675E-2</v>
      </c>
      <c r="E1138" s="6">
        <f t="shared" si="824"/>
        <v>-1</v>
      </c>
      <c r="F1138" s="6">
        <f>$F$13</f>
        <v>-1</v>
      </c>
      <c r="G1138" s="20" t="str">
        <f t="shared" si="825"/>
        <v>B</v>
      </c>
      <c r="H1138" s="20" t="str">
        <f t="shared" si="826"/>
        <v>B</v>
      </c>
      <c r="I1138" s="8">
        <f t="shared" si="820"/>
        <v>0</v>
      </c>
      <c r="J1138" s="8">
        <f t="shared" si="821"/>
        <v>0</v>
      </c>
      <c r="K1138" s="9">
        <f t="shared" si="822"/>
        <v>0</v>
      </c>
    </row>
    <row r="1139" spans="1:11" x14ac:dyDescent="0.25">
      <c r="A1139" s="5"/>
      <c r="B1139" s="6"/>
      <c r="C1139" s="6"/>
      <c r="D1139" s="6"/>
      <c r="E1139" s="6"/>
      <c r="F1139" s="6"/>
      <c r="G1139" s="20" t="s">
        <v>8</v>
      </c>
      <c r="H1139" s="20"/>
      <c r="I1139" s="8">
        <f>SUM(I1133:I1138)</f>
        <v>0</v>
      </c>
      <c r="J1139" s="8">
        <f>AVERAGE(J1133:J1138)</f>
        <v>0</v>
      </c>
      <c r="K1139" s="9">
        <f>AVERAGE(K1133:K1138)</f>
        <v>0</v>
      </c>
    </row>
    <row r="1140" spans="1:11" x14ac:dyDescent="0.25">
      <c r="A1140" s="5"/>
      <c r="B1140" s="6"/>
      <c r="C1140" s="6"/>
      <c r="D1140" s="6"/>
      <c r="E1140" s="6"/>
      <c r="F1140" s="6"/>
      <c r="G1140" s="20" t="s">
        <v>9</v>
      </c>
      <c r="H1140" s="20"/>
      <c r="I1140" s="8">
        <f>SUMSQ(I1133:I1138)</f>
        <v>0</v>
      </c>
      <c r="J1140" s="10"/>
      <c r="K1140" s="15"/>
    </row>
    <row r="1141" spans="1:11" x14ac:dyDescent="0.25">
      <c r="A1141" s="11"/>
      <c r="B1141" s="12"/>
      <c r="C1141" s="12"/>
      <c r="D1141" s="12"/>
      <c r="E1141" s="12"/>
      <c r="F1141" s="12"/>
      <c r="G1141" s="21"/>
      <c r="H1141" s="21"/>
      <c r="I1141" s="18"/>
      <c r="J1141" s="13"/>
      <c r="K1141" s="16"/>
    </row>
    <row r="1142" spans="1:11" x14ac:dyDescent="0.25">
      <c r="A1142" s="2" t="s">
        <v>13</v>
      </c>
      <c r="B1142" s="3">
        <f>B1127+1</f>
        <v>77</v>
      </c>
      <c r="C1142" s="3"/>
      <c r="D1142" s="3"/>
      <c r="E1142" s="3"/>
      <c r="F1142" s="3"/>
      <c r="G1142" s="19"/>
      <c r="H1142" s="19"/>
      <c r="I1142" s="17"/>
      <c r="J1142" s="3"/>
      <c r="K1142" s="4"/>
    </row>
    <row r="1143" spans="1:11" x14ac:dyDescent="0.25">
      <c r="A1143" s="5"/>
      <c r="B1143" s="6" t="s">
        <v>4</v>
      </c>
      <c r="C1143" s="6" t="s">
        <v>5</v>
      </c>
      <c r="D1143" s="6" t="s">
        <v>6</v>
      </c>
      <c r="E1143" s="6"/>
      <c r="F1143" s="6"/>
      <c r="G1143" s="20"/>
      <c r="H1143" s="20"/>
      <c r="I1143" s="8"/>
      <c r="J1143" s="6"/>
      <c r="K1143" s="7"/>
    </row>
    <row r="1144" spans="1:11" x14ac:dyDescent="0.25">
      <c r="A1144" s="5">
        <v>1</v>
      </c>
      <c r="B1144" s="14">
        <f>B1129+J1139</f>
        <v>0.13333333333333286</v>
      </c>
      <c r="C1144" s="14">
        <f>C1129+K1139</f>
        <v>0.29333333333333234</v>
      </c>
      <c r="D1144" s="6">
        <f>D1129</f>
        <v>-1</v>
      </c>
      <c r="E1144" s="6"/>
      <c r="F1144" s="6"/>
      <c r="G1144" s="20"/>
      <c r="H1144" s="20"/>
      <c r="I1144" s="8"/>
      <c r="J1144" s="6"/>
      <c r="K1144" s="7"/>
    </row>
    <row r="1145" spans="1:11" x14ac:dyDescent="0.25">
      <c r="A1145" s="5"/>
      <c r="B1145" s="6"/>
      <c r="C1145" s="6"/>
      <c r="D1145" s="6"/>
      <c r="E1145" s="6"/>
      <c r="F1145" s="6"/>
      <c r="G1145" s="20"/>
      <c r="H1145" s="20"/>
      <c r="I1145" s="8"/>
      <c r="J1145" s="6"/>
      <c r="K1145" s="7"/>
    </row>
    <row r="1146" spans="1:11" x14ac:dyDescent="0.25">
      <c r="A1146" s="5"/>
      <c r="B1146" s="6"/>
      <c r="C1146" s="6"/>
      <c r="D1146" s="6"/>
      <c r="E1146" s="6"/>
      <c r="F1146" s="6"/>
      <c r="G1146" s="20"/>
      <c r="H1146" s="20"/>
      <c r="I1146" s="8"/>
      <c r="J1146" s="6"/>
      <c r="K1146" s="7"/>
    </row>
    <row r="1147" spans="1:11" x14ac:dyDescent="0.25">
      <c r="A1147" s="5" t="s">
        <v>10</v>
      </c>
      <c r="B1147" s="6" t="s">
        <v>2</v>
      </c>
      <c r="C1147" s="6" t="s">
        <v>3</v>
      </c>
      <c r="D1147" s="6" t="s">
        <v>0</v>
      </c>
      <c r="E1147" s="6" t="s">
        <v>15</v>
      </c>
      <c r="F1147" s="6" t="s">
        <v>1</v>
      </c>
      <c r="G1147" s="20" t="s">
        <v>17</v>
      </c>
      <c r="H1147" s="20" t="s">
        <v>16</v>
      </c>
      <c r="I1147" s="8" t="s">
        <v>7</v>
      </c>
      <c r="J1147" s="6" t="s">
        <v>11</v>
      </c>
      <c r="K1147" s="7" t="s">
        <v>12</v>
      </c>
    </row>
    <row r="1148" spans="1:11" x14ac:dyDescent="0.25">
      <c r="A1148" s="5">
        <v>1</v>
      </c>
      <c r="B1148" s="6">
        <f>B1133</f>
        <v>4</v>
      </c>
      <c r="C1148" s="6">
        <f>C1133</f>
        <v>3</v>
      </c>
      <c r="D1148" s="8">
        <f>B1148*B1144+C1148*C1144+D1144</f>
        <v>0.41333333333332845</v>
      </c>
      <c r="E1148" s="6">
        <f>IF(D1148&gt;=0,$F$1,$E$1)</f>
        <v>1</v>
      </c>
      <c r="F1148" s="6">
        <f>$F$8</f>
        <v>1</v>
      </c>
      <c r="G1148" s="20" t="str">
        <f>IF(E1148&gt;0,"A","B")</f>
        <v>A</v>
      </c>
      <c r="H1148" s="20" t="str">
        <f>IF(F1148&gt;0,"A","B")</f>
        <v>A</v>
      </c>
      <c r="I1148" s="8">
        <f t="shared" ref="I1148:I1153" si="831">F1148-E1148</f>
        <v>0</v>
      </c>
      <c r="J1148" s="8">
        <f t="shared" ref="J1148:J1153" si="832">$C$1*I1148*B1148</f>
        <v>0</v>
      </c>
      <c r="K1148" s="9">
        <f t="shared" ref="K1148:K1153" si="833">$C$1*I1148*C1148</f>
        <v>0</v>
      </c>
    </row>
    <row r="1149" spans="1:11" x14ac:dyDescent="0.25">
      <c r="A1149" s="5">
        <v>2</v>
      </c>
      <c r="B1149" s="6">
        <f t="shared" ref="B1149:C1149" si="834">B1134</f>
        <v>1</v>
      </c>
      <c r="C1149" s="6">
        <f t="shared" si="834"/>
        <v>1</v>
      </c>
      <c r="D1149" s="8">
        <f>B1149*B1144+C1149*C1144+D1144</f>
        <v>-0.5733333333333348</v>
      </c>
      <c r="E1149" s="6">
        <f t="shared" ref="E1149:E1153" si="835">IF(D1149&gt;=0,$F$1,$E$1)</f>
        <v>-1</v>
      </c>
      <c r="F1149" s="6">
        <f>$F$9</f>
        <v>-1</v>
      </c>
      <c r="G1149" s="20" t="str">
        <f t="shared" ref="G1149:G1153" si="836">IF(E1149&gt;0,"A","B")</f>
        <v>B</v>
      </c>
      <c r="H1149" s="20" t="str">
        <f t="shared" ref="H1149:H1153" si="837">IF(F1149&gt;0,"A","B")</f>
        <v>B</v>
      </c>
      <c r="I1149" s="8">
        <f t="shared" si="831"/>
        <v>0</v>
      </c>
      <c r="J1149" s="8">
        <f t="shared" si="832"/>
        <v>0</v>
      </c>
      <c r="K1149" s="9">
        <f t="shared" si="833"/>
        <v>0</v>
      </c>
    </row>
    <row r="1150" spans="1:11" x14ac:dyDescent="0.25">
      <c r="A1150" s="5">
        <v>3</v>
      </c>
      <c r="B1150" s="6">
        <f t="shared" ref="B1150:C1150" si="838">B1135</f>
        <v>2</v>
      </c>
      <c r="C1150" s="6">
        <f t="shared" si="838"/>
        <v>2</v>
      </c>
      <c r="D1150" s="8">
        <f>B1150*B1144+C1150*C1144+D1144</f>
        <v>-0.14666666666666961</v>
      </c>
      <c r="E1150" s="6">
        <f t="shared" si="835"/>
        <v>-1</v>
      </c>
      <c r="F1150" s="6">
        <f>$F$10</f>
        <v>-1</v>
      </c>
      <c r="G1150" s="20" t="str">
        <f t="shared" si="836"/>
        <v>B</v>
      </c>
      <c r="H1150" s="20" t="str">
        <f t="shared" si="837"/>
        <v>B</v>
      </c>
      <c r="I1150" s="8">
        <f t="shared" si="831"/>
        <v>0</v>
      </c>
      <c r="J1150" s="8">
        <f t="shared" si="832"/>
        <v>0</v>
      </c>
      <c r="K1150" s="9">
        <f t="shared" si="833"/>
        <v>0</v>
      </c>
    </row>
    <row r="1151" spans="1:11" x14ac:dyDescent="0.25">
      <c r="A1151" s="5">
        <v>4</v>
      </c>
      <c r="B1151" s="6">
        <f t="shared" ref="B1151:C1151" si="839">B1136</f>
        <v>2</v>
      </c>
      <c r="C1151" s="6">
        <f t="shared" si="839"/>
        <v>3</v>
      </c>
      <c r="D1151" s="8">
        <f>B1151*B1144+C1151*C1144+D1144</f>
        <v>0.14666666666666273</v>
      </c>
      <c r="E1151" s="6">
        <f t="shared" si="835"/>
        <v>1</v>
      </c>
      <c r="F1151" s="6">
        <f>$F$11</f>
        <v>1</v>
      </c>
      <c r="G1151" s="20" t="str">
        <f t="shared" si="836"/>
        <v>A</v>
      </c>
      <c r="H1151" s="20" t="str">
        <f t="shared" si="837"/>
        <v>A</v>
      </c>
      <c r="I1151" s="8">
        <f t="shared" si="831"/>
        <v>0</v>
      </c>
      <c r="J1151" s="8">
        <f t="shared" si="832"/>
        <v>0</v>
      </c>
      <c r="K1151" s="9">
        <f t="shared" si="833"/>
        <v>0</v>
      </c>
    </row>
    <row r="1152" spans="1:11" x14ac:dyDescent="0.25">
      <c r="A1152" s="5">
        <v>5</v>
      </c>
      <c r="B1152" s="6">
        <f t="shared" ref="B1152:C1152" si="840">B1137</f>
        <v>5</v>
      </c>
      <c r="C1152" s="6">
        <f t="shared" si="840"/>
        <v>3</v>
      </c>
      <c r="D1152" s="8">
        <f>B1152*B1144+C1152*C1144+D1144</f>
        <v>0.54666666666666131</v>
      </c>
      <c r="E1152" s="6">
        <f t="shared" si="835"/>
        <v>1</v>
      </c>
      <c r="F1152" s="6">
        <f>$F$12</f>
        <v>1</v>
      </c>
      <c r="G1152" s="20" t="str">
        <f t="shared" si="836"/>
        <v>A</v>
      </c>
      <c r="H1152" s="20" t="str">
        <f t="shared" si="837"/>
        <v>A</v>
      </c>
      <c r="I1152" s="8">
        <f t="shared" si="831"/>
        <v>0</v>
      </c>
      <c r="J1152" s="8">
        <f t="shared" si="832"/>
        <v>0</v>
      </c>
      <c r="K1152" s="9">
        <f t="shared" si="833"/>
        <v>0</v>
      </c>
    </row>
    <row r="1153" spans="1:11" x14ac:dyDescent="0.25">
      <c r="A1153" s="5">
        <v>6</v>
      </c>
      <c r="B1153" s="6">
        <f t="shared" ref="B1153:C1153" si="841">B1138</f>
        <v>3</v>
      </c>
      <c r="C1153" s="6">
        <f t="shared" si="841"/>
        <v>2</v>
      </c>
      <c r="D1153" s="8">
        <f>B1153*B1144+C1153*C1144+D1144</f>
        <v>-1.333333333333675E-2</v>
      </c>
      <c r="E1153" s="6">
        <f t="shared" si="835"/>
        <v>-1</v>
      </c>
      <c r="F1153" s="6">
        <f>$F$13</f>
        <v>-1</v>
      </c>
      <c r="G1153" s="20" t="str">
        <f t="shared" si="836"/>
        <v>B</v>
      </c>
      <c r="H1153" s="20" t="str">
        <f t="shared" si="837"/>
        <v>B</v>
      </c>
      <c r="I1153" s="8">
        <f t="shared" si="831"/>
        <v>0</v>
      </c>
      <c r="J1153" s="8">
        <f t="shared" si="832"/>
        <v>0</v>
      </c>
      <c r="K1153" s="9">
        <f t="shared" si="833"/>
        <v>0</v>
      </c>
    </row>
    <row r="1154" spans="1:11" x14ac:dyDescent="0.25">
      <c r="A1154" s="5"/>
      <c r="B1154" s="6"/>
      <c r="C1154" s="6"/>
      <c r="D1154" s="6"/>
      <c r="E1154" s="6"/>
      <c r="F1154" s="6"/>
      <c r="G1154" s="20" t="s">
        <v>8</v>
      </c>
      <c r="H1154" s="20"/>
      <c r="I1154" s="8">
        <f>SUM(I1148:I1153)</f>
        <v>0</v>
      </c>
      <c r="J1154" s="8">
        <f>AVERAGE(J1148:J1153)</f>
        <v>0</v>
      </c>
      <c r="K1154" s="9">
        <f>AVERAGE(K1148:K1153)</f>
        <v>0</v>
      </c>
    </row>
    <row r="1155" spans="1:11" x14ac:dyDescent="0.25">
      <c r="A1155" s="5"/>
      <c r="B1155" s="6"/>
      <c r="C1155" s="6"/>
      <c r="D1155" s="6"/>
      <c r="E1155" s="6"/>
      <c r="F1155" s="6"/>
      <c r="G1155" s="20" t="s">
        <v>9</v>
      </c>
      <c r="H1155" s="20"/>
      <c r="I1155" s="8">
        <f>SUMSQ(I1148:I1153)</f>
        <v>0</v>
      </c>
      <c r="J1155" s="10"/>
      <c r="K1155" s="15"/>
    </row>
    <row r="1156" spans="1:11" x14ac:dyDescent="0.25">
      <c r="A1156" s="11"/>
      <c r="B1156" s="12"/>
      <c r="C1156" s="12"/>
      <c r="D1156" s="12"/>
      <c r="E1156" s="12"/>
      <c r="F1156" s="12"/>
      <c r="G1156" s="21"/>
      <c r="H1156" s="21"/>
      <c r="I1156" s="18"/>
      <c r="J1156" s="13"/>
      <c r="K1156" s="16"/>
    </row>
    <row r="1157" spans="1:11" x14ac:dyDescent="0.25">
      <c r="A1157" s="2" t="s">
        <v>13</v>
      </c>
      <c r="B1157" s="3">
        <f>B1142+1</f>
        <v>78</v>
      </c>
      <c r="C1157" s="3"/>
      <c r="D1157" s="3"/>
      <c r="E1157" s="3"/>
      <c r="F1157" s="3"/>
      <c r="G1157" s="19"/>
      <c r="H1157" s="19"/>
      <c r="I1157" s="17"/>
      <c r="J1157" s="3"/>
      <c r="K1157" s="4"/>
    </row>
    <row r="1158" spans="1:11" x14ac:dyDescent="0.25">
      <c r="A1158" s="5"/>
      <c r="B1158" s="6" t="s">
        <v>4</v>
      </c>
      <c r="C1158" s="6" t="s">
        <v>5</v>
      </c>
      <c r="D1158" s="6" t="s">
        <v>6</v>
      </c>
      <c r="E1158" s="6"/>
      <c r="F1158" s="6"/>
      <c r="G1158" s="20"/>
      <c r="H1158" s="20"/>
      <c r="I1158" s="8"/>
      <c r="J1158" s="6"/>
      <c r="K1158" s="7"/>
    </row>
    <row r="1159" spans="1:11" x14ac:dyDescent="0.25">
      <c r="A1159" s="5">
        <v>1</v>
      </c>
      <c r="B1159" s="14">
        <f>B1144+J1154</f>
        <v>0.13333333333333286</v>
      </c>
      <c r="C1159" s="14">
        <f>C1144+K1154</f>
        <v>0.29333333333333234</v>
      </c>
      <c r="D1159" s="6">
        <f>D1144</f>
        <v>-1</v>
      </c>
      <c r="E1159" s="6"/>
      <c r="F1159" s="6"/>
      <c r="G1159" s="20"/>
      <c r="H1159" s="20"/>
      <c r="I1159" s="8"/>
      <c r="J1159" s="6"/>
      <c r="K1159" s="7"/>
    </row>
    <row r="1160" spans="1:11" x14ac:dyDescent="0.25">
      <c r="A1160" s="5"/>
      <c r="B1160" s="6"/>
      <c r="C1160" s="6"/>
      <c r="D1160" s="6"/>
      <c r="E1160" s="6"/>
      <c r="F1160" s="6"/>
      <c r="G1160" s="20"/>
      <c r="H1160" s="20"/>
      <c r="I1160" s="8"/>
      <c r="J1160" s="6"/>
      <c r="K1160" s="7"/>
    </row>
    <row r="1161" spans="1:11" x14ac:dyDescent="0.25">
      <c r="A1161" s="5"/>
      <c r="B1161" s="6"/>
      <c r="C1161" s="6"/>
      <c r="D1161" s="6"/>
      <c r="E1161" s="6"/>
      <c r="F1161" s="6"/>
      <c r="G1161" s="20"/>
      <c r="H1161" s="20"/>
      <c r="I1161" s="8"/>
      <c r="J1161" s="6"/>
      <c r="K1161" s="7"/>
    </row>
    <row r="1162" spans="1:11" x14ac:dyDescent="0.25">
      <c r="A1162" s="5" t="s">
        <v>10</v>
      </c>
      <c r="B1162" s="6" t="s">
        <v>2</v>
      </c>
      <c r="C1162" s="6" t="s">
        <v>3</v>
      </c>
      <c r="D1162" s="6" t="s">
        <v>0</v>
      </c>
      <c r="E1162" s="6" t="s">
        <v>15</v>
      </c>
      <c r="F1162" s="6" t="s">
        <v>1</v>
      </c>
      <c r="G1162" s="20" t="s">
        <v>17</v>
      </c>
      <c r="H1162" s="20" t="s">
        <v>16</v>
      </c>
      <c r="I1162" s="8" t="s">
        <v>7</v>
      </c>
      <c r="J1162" s="6" t="s">
        <v>11</v>
      </c>
      <c r="K1162" s="7" t="s">
        <v>12</v>
      </c>
    </row>
    <row r="1163" spans="1:11" x14ac:dyDescent="0.25">
      <c r="A1163" s="5">
        <v>1</v>
      </c>
      <c r="B1163" s="6">
        <f>B1148</f>
        <v>4</v>
      </c>
      <c r="C1163" s="6">
        <f>C1148</f>
        <v>3</v>
      </c>
      <c r="D1163" s="8">
        <f>B1163*B1159+C1163*C1159+D1159</f>
        <v>0.41333333333332845</v>
      </c>
      <c r="E1163" s="6">
        <f>IF(D1163&gt;=0,$F$1,$E$1)</f>
        <v>1</v>
      </c>
      <c r="F1163" s="6">
        <f>$F$8</f>
        <v>1</v>
      </c>
      <c r="G1163" s="20" t="str">
        <f>IF(E1163&gt;0,"A","B")</f>
        <v>A</v>
      </c>
      <c r="H1163" s="20" t="str">
        <f>IF(F1163&gt;0,"A","B")</f>
        <v>A</v>
      </c>
      <c r="I1163" s="8">
        <f t="shared" ref="I1163:I1168" si="842">F1163-E1163</f>
        <v>0</v>
      </c>
      <c r="J1163" s="8">
        <f t="shared" ref="J1163:J1168" si="843">$C$1*I1163*B1163</f>
        <v>0</v>
      </c>
      <c r="K1163" s="9">
        <f t="shared" ref="K1163:K1168" si="844">$C$1*I1163*C1163</f>
        <v>0</v>
      </c>
    </row>
    <row r="1164" spans="1:11" x14ac:dyDescent="0.25">
      <c r="A1164" s="5">
        <v>2</v>
      </c>
      <c r="B1164" s="6">
        <f t="shared" ref="B1164:C1164" si="845">B1149</f>
        <v>1</v>
      </c>
      <c r="C1164" s="6">
        <f t="shared" si="845"/>
        <v>1</v>
      </c>
      <c r="D1164" s="8">
        <f>B1164*B1159+C1164*C1159+D1159</f>
        <v>-0.5733333333333348</v>
      </c>
      <c r="E1164" s="6">
        <f t="shared" ref="E1164:E1168" si="846">IF(D1164&gt;=0,$F$1,$E$1)</f>
        <v>-1</v>
      </c>
      <c r="F1164" s="6">
        <f>$F$9</f>
        <v>-1</v>
      </c>
      <c r="G1164" s="20" t="str">
        <f t="shared" ref="G1164:G1168" si="847">IF(E1164&gt;0,"A","B")</f>
        <v>B</v>
      </c>
      <c r="H1164" s="20" t="str">
        <f t="shared" ref="H1164:H1168" si="848">IF(F1164&gt;0,"A","B")</f>
        <v>B</v>
      </c>
      <c r="I1164" s="8">
        <f t="shared" si="842"/>
        <v>0</v>
      </c>
      <c r="J1164" s="8">
        <f t="shared" si="843"/>
        <v>0</v>
      </c>
      <c r="K1164" s="9">
        <f t="shared" si="844"/>
        <v>0</v>
      </c>
    </row>
    <row r="1165" spans="1:11" x14ac:dyDescent="0.25">
      <c r="A1165" s="5">
        <v>3</v>
      </c>
      <c r="B1165" s="6">
        <f t="shared" ref="B1165:C1165" si="849">B1150</f>
        <v>2</v>
      </c>
      <c r="C1165" s="6">
        <f t="shared" si="849"/>
        <v>2</v>
      </c>
      <c r="D1165" s="8">
        <f>B1165*B1159+C1165*C1159+D1159</f>
        <v>-0.14666666666666961</v>
      </c>
      <c r="E1165" s="6">
        <f t="shared" si="846"/>
        <v>-1</v>
      </c>
      <c r="F1165" s="6">
        <f>$F$10</f>
        <v>-1</v>
      </c>
      <c r="G1165" s="20" t="str">
        <f t="shared" si="847"/>
        <v>B</v>
      </c>
      <c r="H1165" s="20" t="str">
        <f t="shared" si="848"/>
        <v>B</v>
      </c>
      <c r="I1165" s="8">
        <f t="shared" si="842"/>
        <v>0</v>
      </c>
      <c r="J1165" s="8">
        <f t="shared" si="843"/>
        <v>0</v>
      </c>
      <c r="K1165" s="9">
        <f t="shared" si="844"/>
        <v>0</v>
      </c>
    </row>
    <row r="1166" spans="1:11" x14ac:dyDescent="0.25">
      <c r="A1166" s="5">
        <v>4</v>
      </c>
      <c r="B1166" s="6">
        <f t="shared" ref="B1166:C1166" si="850">B1151</f>
        <v>2</v>
      </c>
      <c r="C1166" s="6">
        <f t="shared" si="850"/>
        <v>3</v>
      </c>
      <c r="D1166" s="8">
        <f>B1166*B1159+C1166*C1159+D1159</f>
        <v>0.14666666666666273</v>
      </c>
      <c r="E1166" s="6">
        <f t="shared" si="846"/>
        <v>1</v>
      </c>
      <c r="F1166" s="6">
        <f>$F$11</f>
        <v>1</v>
      </c>
      <c r="G1166" s="20" t="str">
        <f t="shared" si="847"/>
        <v>A</v>
      </c>
      <c r="H1166" s="20" t="str">
        <f t="shared" si="848"/>
        <v>A</v>
      </c>
      <c r="I1166" s="8">
        <f t="shared" si="842"/>
        <v>0</v>
      </c>
      <c r="J1166" s="8">
        <f t="shared" si="843"/>
        <v>0</v>
      </c>
      <c r="K1166" s="9">
        <f t="shared" si="844"/>
        <v>0</v>
      </c>
    </row>
    <row r="1167" spans="1:11" x14ac:dyDescent="0.25">
      <c r="A1167" s="5">
        <v>5</v>
      </c>
      <c r="B1167" s="6">
        <f t="shared" ref="B1167:C1167" si="851">B1152</f>
        <v>5</v>
      </c>
      <c r="C1167" s="6">
        <f t="shared" si="851"/>
        <v>3</v>
      </c>
      <c r="D1167" s="8">
        <f>B1167*B1159+C1167*C1159+D1159</f>
        <v>0.54666666666666131</v>
      </c>
      <c r="E1167" s="6">
        <f t="shared" si="846"/>
        <v>1</v>
      </c>
      <c r="F1167" s="6">
        <f>$F$12</f>
        <v>1</v>
      </c>
      <c r="G1167" s="20" t="str">
        <f t="shared" si="847"/>
        <v>A</v>
      </c>
      <c r="H1167" s="20" t="str">
        <f t="shared" si="848"/>
        <v>A</v>
      </c>
      <c r="I1167" s="8">
        <f t="shared" si="842"/>
        <v>0</v>
      </c>
      <c r="J1167" s="8">
        <f t="shared" si="843"/>
        <v>0</v>
      </c>
      <c r="K1167" s="9">
        <f t="shared" si="844"/>
        <v>0</v>
      </c>
    </row>
    <row r="1168" spans="1:11" x14ac:dyDescent="0.25">
      <c r="A1168" s="5">
        <v>6</v>
      </c>
      <c r="B1168" s="6">
        <f t="shared" ref="B1168:C1168" si="852">B1153</f>
        <v>3</v>
      </c>
      <c r="C1168" s="6">
        <f t="shared" si="852"/>
        <v>2</v>
      </c>
      <c r="D1168" s="8">
        <f>B1168*B1159+C1168*C1159+D1159</f>
        <v>-1.333333333333675E-2</v>
      </c>
      <c r="E1168" s="6">
        <f t="shared" si="846"/>
        <v>-1</v>
      </c>
      <c r="F1168" s="6">
        <f>$F$13</f>
        <v>-1</v>
      </c>
      <c r="G1168" s="20" t="str">
        <f t="shared" si="847"/>
        <v>B</v>
      </c>
      <c r="H1168" s="20" t="str">
        <f t="shared" si="848"/>
        <v>B</v>
      </c>
      <c r="I1168" s="8">
        <f t="shared" si="842"/>
        <v>0</v>
      </c>
      <c r="J1168" s="8">
        <f t="shared" si="843"/>
        <v>0</v>
      </c>
      <c r="K1168" s="9">
        <f t="shared" si="844"/>
        <v>0</v>
      </c>
    </row>
    <row r="1169" spans="1:11" x14ac:dyDescent="0.25">
      <c r="A1169" s="5"/>
      <c r="B1169" s="6"/>
      <c r="C1169" s="6"/>
      <c r="D1169" s="6"/>
      <c r="E1169" s="6"/>
      <c r="F1169" s="6"/>
      <c r="G1169" s="20" t="s">
        <v>8</v>
      </c>
      <c r="H1169" s="20"/>
      <c r="I1169" s="8">
        <f>SUM(I1163:I1168)</f>
        <v>0</v>
      </c>
      <c r="J1169" s="8">
        <f>AVERAGE(J1163:J1168)</f>
        <v>0</v>
      </c>
      <c r="K1169" s="9">
        <f>AVERAGE(K1163:K1168)</f>
        <v>0</v>
      </c>
    </row>
    <row r="1170" spans="1:11" x14ac:dyDescent="0.25">
      <c r="A1170" s="5"/>
      <c r="B1170" s="6"/>
      <c r="C1170" s="6"/>
      <c r="D1170" s="6"/>
      <c r="E1170" s="6"/>
      <c r="F1170" s="6"/>
      <c r="G1170" s="20" t="s">
        <v>9</v>
      </c>
      <c r="H1170" s="20"/>
      <c r="I1170" s="8">
        <f>SUMSQ(I1163:I1168)</f>
        <v>0</v>
      </c>
      <c r="J1170" s="10"/>
      <c r="K1170" s="15"/>
    </row>
    <row r="1171" spans="1:11" x14ac:dyDescent="0.25">
      <c r="A1171" s="11"/>
      <c r="B1171" s="12"/>
      <c r="C1171" s="12"/>
      <c r="D1171" s="12"/>
      <c r="E1171" s="12"/>
      <c r="F1171" s="12"/>
      <c r="G1171" s="21"/>
      <c r="H1171" s="21"/>
      <c r="I1171" s="18"/>
      <c r="J1171" s="13"/>
      <c r="K1171" s="16"/>
    </row>
    <row r="1172" spans="1:11" x14ac:dyDescent="0.25">
      <c r="A1172" s="2" t="s">
        <v>13</v>
      </c>
      <c r="B1172" s="3">
        <f>B1157+1</f>
        <v>79</v>
      </c>
      <c r="C1172" s="3"/>
      <c r="D1172" s="3"/>
      <c r="E1172" s="3"/>
      <c r="F1172" s="3"/>
      <c r="G1172" s="19"/>
      <c r="H1172" s="19"/>
      <c r="I1172" s="17"/>
      <c r="J1172" s="3"/>
      <c r="K1172" s="4"/>
    </row>
    <row r="1173" spans="1:11" x14ac:dyDescent="0.25">
      <c r="A1173" s="5"/>
      <c r="B1173" s="6" t="s">
        <v>4</v>
      </c>
      <c r="C1173" s="6" t="s">
        <v>5</v>
      </c>
      <c r="D1173" s="6" t="s">
        <v>6</v>
      </c>
      <c r="E1173" s="6"/>
      <c r="F1173" s="6"/>
      <c r="G1173" s="20"/>
      <c r="H1173" s="20"/>
      <c r="I1173" s="8"/>
      <c r="J1173" s="6"/>
      <c r="K1173" s="7"/>
    </row>
    <row r="1174" spans="1:11" x14ac:dyDescent="0.25">
      <c r="A1174" s="5">
        <v>1</v>
      </c>
      <c r="B1174" s="14">
        <f>B1159+J1169</f>
        <v>0.13333333333333286</v>
      </c>
      <c r="C1174" s="14">
        <f>C1159+K1169</f>
        <v>0.29333333333333234</v>
      </c>
      <c r="D1174" s="6">
        <f>D1159</f>
        <v>-1</v>
      </c>
      <c r="E1174" s="6"/>
      <c r="F1174" s="6"/>
      <c r="G1174" s="20"/>
      <c r="H1174" s="20"/>
      <c r="I1174" s="8"/>
      <c r="J1174" s="6"/>
      <c r="K1174" s="7"/>
    </row>
    <row r="1175" spans="1:11" x14ac:dyDescent="0.25">
      <c r="A1175" s="5"/>
      <c r="B1175" s="6"/>
      <c r="C1175" s="6"/>
      <c r="D1175" s="6"/>
      <c r="E1175" s="6"/>
      <c r="F1175" s="6"/>
      <c r="G1175" s="20"/>
      <c r="H1175" s="20"/>
      <c r="I1175" s="8"/>
      <c r="J1175" s="6"/>
      <c r="K1175" s="7"/>
    </row>
    <row r="1176" spans="1:11" x14ac:dyDescent="0.25">
      <c r="A1176" s="5"/>
      <c r="B1176" s="6"/>
      <c r="C1176" s="6"/>
      <c r="D1176" s="6"/>
      <c r="E1176" s="6"/>
      <c r="F1176" s="6"/>
      <c r="G1176" s="20"/>
      <c r="H1176" s="20"/>
      <c r="I1176" s="8"/>
      <c r="J1176" s="6"/>
      <c r="K1176" s="7"/>
    </row>
    <row r="1177" spans="1:11" x14ac:dyDescent="0.25">
      <c r="A1177" s="5" t="s">
        <v>10</v>
      </c>
      <c r="B1177" s="6" t="s">
        <v>2</v>
      </c>
      <c r="C1177" s="6" t="s">
        <v>3</v>
      </c>
      <c r="D1177" s="6" t="s">
        <v>0</v>
      </c>
      <c r="E1177" s="6" t="s">
        <v>15</v>
      </c>
      <c r="F1177" s="6" t="s">
        <v>1</v>
      </c>
      <c r="G1177" s="20" t="s">
        <v>17</v>
      </c>
      <c r="H1177" s="20" t="s">
        <v>16</v>
      </c>
      <c r="I1177" s="8" t="s">
        <v>7</v>
      </c>
      <c r="J1177" s="6" t="s">
        <v>11</v>
      </c>
      <c r="K1177" s="7" t="s">
        <v>12</v>
      </c>
    </row>
    <row r="1178" spans="1:11" x14ac:dyDescent="0.25">
      <c r="A1178" s="5">
        <v>1</v>
      </c>
      <c r="B1178" s="6">
        <f>B1163</f>
        <v>4</v>
      </c>
      <c r="C1178" s="6">
        <f>C1163</f>
        <v>3</v>
      </c>
      <c r="D1178" s="8">
        <f>B1178*B1174+C1178*C1174+D1174</f>
        <v>0.41333333333332845</v>
      </c>
      <c r="E1178" s="6">
        <f>IF(D1178&gt;=0,$F$1,$E$1)</f>
        <v>1</v>
      </c>
      <c r="F1178" s="6">
        <f>$F$8</f>
        <v>1</v>
      </c>
      <c r="G1178" s="20" t="str">
        <f>IF(E1178&gt;0,"A","B")</f>
        <v>A</v>
      </c>
      <c r="H1178" s="20" t="str">
        <f>IF(F1178&gt;0,"A","B")</f>
        <v>A</v>
      </c>
      <c r="I1178" s="8">
        <f t="shared" ref="I1178:I1183" si="853">F1178-E1178</f>
        <v>0</v>
      </c>
      <c r="J1178" s="8">
        <f t="shared" ref="J1178:J1183" si="854">$C$1*I1178*B1178</f>
        <v>0</v>
      </c>
      <c r="K1178" s="9">
        <f t="shared" ref="K1178:K1183" si="855">$C$1*I1178*C1178</f>
        <v>0</v>
      </c>
    </row>
    <row r="1179" spans="1:11" x14ac:dyDescent="0.25">
      <c r="A1179" s="5">
        <v>2</v>
      </c>
      <c r="B1179" s="6">
        <f t="shared" ref="B1179:C1179" si="856">B1164</f>
        <v>1</v>
      </c>
      <c r="C1179" s="6">
        <f t="shared" si="856"/>
        <v>1</v>
      </c>
      <c r="D1179" s="8">
        <f>B1179*B1174+C1179*C1174+D1174</f>
        <v>-0.5733333333333348</v>
      </c>
      <c r="E1179" s="6">
        <f t="shared" ref="E1179:E1183" si="857">IF(D1179&gt;=0,$F$1,$E$1)</f>
        <v>-1</v>
      </c>
      <c r="F1179" s="6">
        <f>$F$9</f>
        <v>-1</v>
      </c>
      <c r="G1179" s="20" t="str">
        <f t="shared" ref="G1179:G1183" si="858">IF(E1179&gt;0,"A","B")</f>
        <v>B</v>
      </c>
      <c r="H1179" s="20" t="str">
        <f t="shared" ref="H1179:H1183" si="859">IF(F1179&gt;0,"A","B")</f>
        <v>B</v>
      </c>
      <c r="I1179" s="8">
        <f t="shared" si="853"/>
        <v>0</v>
      </c>
      <c r="J1179" s="8">
        <f t="shared" si="854"/>
        <v>0</v>
      </c>
      <c r="K1179" s="9">
        <f t="shared" si="855"/>
        <v>0</v>
      </c>
    </row>
    <row r="1180" spans="1:11" x14ac:dyDescent="0.25">
      <c r="A1180" s="5">
        <v>3</v>
      </c>
      <c r="B1180" s="6">
        <f t="shared" ref="B1180:C1180" si="860">B1165</f>
        <v>2</v>
      </c>
      <c r="C1180" s="6">
        <f t="shared" si="860"/>
        <v>2</v>
      </c>
      <c r="D1180" s="8">
        <f>B1180*B1174+C1180*C1174+D1174</f>
        <v>-0.14666666666666961</v>
      </c>
      <c r="E1180" s="6">
        <f t="shared" si="857"/>
        <v>-1</v>
      </c>
      <c r="F1180" s="6">
        <f>$F$10</f>
        <v>-1</v>
      </c>
      <c r="G1180" s="20" t="str">
        <f t="shared" si="858"/>
        <v>B</v>
      </c>
      <c r="H1180" s="20" t="str">
        <f t="shared" si="859"/>
        <v>B</v>
      </c>
      <c r="I1180" s="8">
        <f t="shared" si="853"/>
        <v>0</v>
      </c>
      <c r="J1180" s="8">
        <f t="shared" si="854"/>
        <v>0</v>
      </c>
      <c r="K1180" s="9">
        <f t="shared" si="855"/>
        <v>0</v>
      </c>
    </row>
    <row r="1181" spans="1:11" x14ac:dyDescent="0.25">
      <c r="A1181" s="5">
        <v>4</v>
      </c>
      <c r="B1181" s="6">
        <f t="shared" ref="B1181:C1181" si="861">B1166</f>
        <v>2</v>
      </c>
      <c r="C1181" s="6">
        <f t="shared" si="861"/>
        <v>3</v>
      </c>
      <c r="D1181" s="8">
        <f>B1181*B1174+C1181*C1174+D1174</f>
        <v>0.14666666666666273</v>
      </c>
      <c r="E1181" s="6">
        <f t="shared" si="857"/>
        <v>1</v>
      </c>
      <c r="F1181" s="6">
        <f>$F$11</f>
        <v>1</v>
      </c>
      <c r="G1181" s="20" t="str">
        <f t="shared" si="858"/>
        <v>A</v>
      </c>
      <c r="H1181" s="20" t="str">
        <f t="shared" si="859"/>
        <v>A</v>
      </c>
      <c r="I1181" s="8">
        <f t="shared" si="853"/>
        <v>0</v>
      </c>
      <c r="J1181" s="8">
        <f t="shared" si="854"/>
        <v>0</v>
      </c>
      <c r="K1181" s="9">
        <f t="shared" si="855"/>
        <v>0</v>
      </c>
    </row>
    <row r="1182" spans="1:11" x14ac:dyDescent="0.25">
      <c r="A1182" s="5">
        <v>5</v>
      </c>
      <c r="B1182" s="6">
        <f t="shared" ref="B1182:C1182" si="862">B1167</f>
        <v>5</v>
      </c>
      <c r="C1182" s="6">
        <f t="shared" si="862"/>
        <v>3</v>
      </c>
      <c r="D1182" s="8">
        <f>B1182*B1174+C1182*C1174+D1174</f>
        <v>0.54666666666666131</v>
      </c>
      <c r="E1182" s="6">
        <f t="shared" si="857"/>
        <v>1</v>
      </c>
      <c r="F1182" s="6">
        <f>$F$12</f>
        <v>1</v>
      </c>
      <c r="G1182" s="20" t="str">
        <f t="shared" si="858"/>
        <v>A</v>
      </c>
      <c r="H1182" s="20" t="str">
        <f t="shared" si="859"/>
        <v>A</v>
      </c>
      <c r="I1182" s="8">
        <f t="shared" si="853"/>
        <v>0</v>
      </c>
      <c r="J1182" s="8">
        <f t="shared" si="854"/>
        <v>0</v>
      </c>
      <c r="K1182" s="9">
        <f t="shared" si="855"/>
        <v>0</v>
      </c>
    </row>
    <row r="1183" spans="1:11" x14ac:dyDescent="0.25">
      <c r="A1183" s="5">
        <v>6</v>
      </c>
      <c r="B1183" s="6">
        <f t="shared" ref="B1183:C1183" si="863">B1168</f>
        <v>3</v>
      </c>
      <c r="C1183" s="6">
        <f t="shared" si="863"/>
        <v>2</v>
      </c>
      <c r="D1183" s="8">
        <f>B1183*B1174+C1183*C1174+D1174</f>
        <v>-1.333333333333675E-2</v>
      </c>
      <c r="E1183" s="6">
        <f t="shared" si="857"/>
        <v>-1</v>
      </c>
      <c r="F1183" s="6">
        <f>$F$13</f>
        <v>-1</v>
      </c>
      <c r="G1183" s="20" t="str">
        <f t="shared" si="858"/>
        <v>B</v>
      </c>
      <c r="H1183" s="20" t="str">
        <f t="shared" si="859"/>
        <v>B</v>
      </c>
      <c r="I1183" s="8">
        <f t="shared" si="853"/>
        <v>0</v>
      </c>
      <c r="J1183" s="8">
        <f t="shared" si="854"/>
        <v>0</v>
      </c>
      <c r="K1183" s="9">
        <f t="shared" si="855"/>
        <v>0</v>
      </c>
    </row>
    <row r="1184" spans="1:11" x14ac:dyDescent="0.25">
      <c r="A1184" s="5"/>
      <c r="B1184" s="6"/>
      <c r="C1184" s="6"/>
      <c r="D1184" s="6"/>
      <c r="E1184" s="6"/>
      <c r="F1184" s="6"/>
      <c r="G1184" s="20" t="s">
        <v>8</v>
      </c>
      <c r="H1184" s="20"/>
      <c r="I1184" s="8">
        <f>SUM(I1178:I1183)</f>
        <v>0</v>
      </c>
      <c r="J1184" s="8">
        <f>AVERAGE(J1178:J1183)</f>
        <v>0</v>
      </c>
      <c r="K1184" s="9">
        <f>AVERAGE(K1178:K1183)</f>
        <v>0</v>
      </c>
    </row>
    <row r="1185" spans="1:11" x14ac:dyDescent="0.25">
      <c r="A1185" s="5"/>
      <c r="B1185" s="6"/>
      <c r="C1185" s="6"/>
      <c r="D1185" s="6"/>
      <c r="E1185" s="6"/>
      <c r="F1185" s="6"/>
      <c r="G1185" s="20" t="s">
        <v>9</v>
      </c>
      <c r="H1185" s="20"/>
      <c r="I1185" s="8">
        <f>SUMSQ(I1178:I1183)</f>
        <v>0</v>
      </c>
      <c r="J1185" s="10"/>
      <c r="K1185" s="15"/>
    </row>
    <row r="1186" spans="1:11" x14ac:dyDescent="0.25">
      <c r="A1186" s="11"/>
      <c r="B1186" s="12"/>
      <c r="C1186" s="12"/>
      <c r="D1186" s="12"/>
      <c r="E1186" s="12"/>
      <c r="F1186" s="12"/>
      <c r="G1186" s="21"/>
      <c r="H1186" s="21"/>
      <c r="I1186" s="18"/>
      <c r="J1186" s="13"/>
      <c r="K1186" s="16"/>
    </row>
    <row r="1187" spans="1:11" x14ac:dyDescent="0.25">
      <c r="A1187" s="2" t="s">
        <v>13</v>
      </c>
      <c r="B1187" s="3">
        <f>B1172+1</f>
        <v>80</v>
      </c>
      <c r="C1187" s="3"/>
      <c r="D1187" s="3"/>
      <c r="E1187" s="3"/>
      <c r="F1187" s="3"/>
      <c r="G1187" s="19"/>
      <c r="H1187" s="19"/>
      <c r="I1187" s="17"/>
      <c r="J1187" s="3"/>
      <c r="K1187" s="4"/>
    </row>
    <row r="1188" spans="1:11" x14ac:dyDescent="0.25">
      <c r="A1188" s="5"/>
      <c r="B1188" s="6" t="s">
        <v>4</v>
      </c>
      <c r="C1188" s="6" t="s">
        <v>5</v>
      </c>
      <c r="D1188" s="6" t="s">
        <v>6</v>
      </c>
      <c r="E1188" s="6"/>
      <c r="F1188" s="6"/>
      <c r="G1188" s="20"/>
      <c r="H1188" s="20"/>
      <c r="I1188" s="8"/>
      <c r="J1188" s="6"/>
      <c r="K1188" s="7"/>
    </row>
    <row r="1189" spans="1:11" x14ac:dyDescent="0.25">
      <c r="A1189" s="5">
        <v>1</v>
      </c>
      <c r="B1189" s="14">
        <f>B1174+J1184</f>
        <v>0.13333333333333286</v>
      </c>
      <c r="C1189" s="14">
        <f>C1174+K1184</f>
        <v>0.29333333333333234</v>
      </c>
      <c r="D1189" s="6">
        <f>D1174</f>
        <v>-1</v>
      </c>
      <c r="E1189" s="6"/>
      <c r="F1189" s="6"/>
      <c r="G1189" s="20"/>
      <c r="H1189" s="20"/>
      <c r="I1189" s="8"/>
      <c r="J1189" s="6"/>
      <c r="K1189" s="7"/>
    </row>
    <row r="1190" spans="1:11" x14ac:dyDescent="0.25">
      <c r="A1190" s="5"/>
      <c r="B1190" s="6"/>
      <c r="C1190" s="6"/>
      <c r="D1190" s="6"/>
      <c r="E1190" s="6"/>
      <c r="F1190" s="6"/>
      <c r="G1190" s="20"/>
      <c r="H1190" s="20"/>
      <c r="I1190" s="8"/>
      <c r="J1190" s="6"/>
      <c r="K1190" s="7"/>
    </row>
    <row r="1191" spans="1:11" x14ac:dyDescent="0.25">
      <c r="A1191" s="5"/>
      <c r="B1191" s="6"/>
      <c r="C1191" s="6"/>
      <c r="D1191" s="6"/>
      <c r="E1191" s="6"/>
      <c r="F1191" s="6"/>
      <c r="G1191" s="20"/>
      <c r="H1191" s="20"/>
      <c r="I1191" s="8"/>
      <c r="J1191" s="6"/>
      <c r="K1191" s="7"/>
    </row>
    <row r="1192" spans="1:11" x14ac:dyDescent="0.25">
      <c r="A1192" s="5" t="s">
        <v>10</v>
      </c>
      <c r="B1192" s="6" t="s">
        <v>2</v>
      </c>
      <c r="C1192" s="6" t="s">
        <v>3</v>
      </c>
      <c r="D1192" s="6" t="s">
        <v>0</v>
      </c>
      <c r="E1192" s="6" t="s">
        <v>15</v>
      </c>
      <c r="F1192" s="6" t="s">
        <v>1</v>
      </c>
      <c r="G1192" s="20" t="s">
        <v>17</v>
      </c>
      <c r="H1192" s="20" t="s">
        <v>16</v>
      </c>
      <c r="I1192" s="8" t="s">
        <v>7</v>
      </c>
      <c r="J1192" s="6" t="s">
        <v>11</v>
      </c>
      <c r="K1192" s="7" t="s">
        <v>12</v>
      </c>
    </row>
    <row r="1193" spans="1:11" x14ac:dyDescent="0.25">
      <c r="A1193" s="5">
        <v>1</v>
      </c>
      <c r="B1193" s="6">
        <f>B1178</f>
        <v>4</v>
      </c>
      <c r="C1193" s="6">
        <f>C1178</f>
        <v>3</v>
      </c>
      <c r="D1193" s="8">
        <f>B1193*B1189+C1193*C1189+D1189</f>
        <v>0.41333333333332845</v>
      </c>
      <c r="E1193" s="6">
        <f>IF(D1193&gt;=0,$F$1,$E$1)</f>
        <v>1</v>
      </c>
      <c r="F1193" s="6">
        <f>$F$8</f>
        <v>1</v>
      </c>
      <c r="G1193" s="20" t="str">
        <f>IF(E1193&gt;0,"A","B")</f>
        <v>A</v>
      </c>
      <c r="H1193" s="20" t="str">
        <f>IF(F1193&gt;0,"A","B")</f>
        <v>A</v>
      </c>
      <c r="I1193" s="8">
        <f t="shared" ref="I1193:I1198" si="864">F1193-E1193</f>
        <v>0</v>
      </c>
      <c r="J1193" s="8">
        <f t="shared" ref="J1193:J1198" si="865">$C$1*I1193*B1193</f>
        <v>0</v>
      </c>
      <c r="K1193" s="9">
        <f t="shared" ref="K1193:K1198" si="866">$C$1*I1193*C1193</f>
        <v>0</v>
      </c>
    </row>
    <row r="1194" spans="1:11" x14ac:dyDescent="0.25">
      <c r="A1194" s="5">
        <v>2</v>
      </c>
      <c r="B1194" s="6">
        <f t="shared" ref="B1194:C1194" si="867">B1179</f>
        <v>1</v>
      </c>
      <c r="C1194" s="6">
        <f t="shared" si="867"/>
        <v>1</v>
      </c>
      <c r="D1194" s="8">
        <f>B1194*B1189+C1194*C1189+D1189</f>
        <v>-0.5733333333333348</v>
      </c>
      <c r="E1194" s="6">
        <f t="shared" ref="E1194:E1198" si="868">IF(D1194&gt;=0,$F$1,$E$1)</f>
        <v>-1</v>
      </c>
      <c r="F1194" s="6">
        <f>$F$9</f>
        <v>-1</v>
      </c>
      <c r="G1194" s="20" t="str">
        <f t="shared" ref="G1194:G1198" si="869">IF(E1194&gt;0,"A","B")</f>
        <v>B</v>
      </c>
      <c r="H1194" s="20" t="str">
        <f t="shared" ref="H1194:H1198" si="870">IF(F1194&gt;0,"A","B")</f>
        <v>B</v>
      </c>
      <c r="I1194" s="8">
        <f t="shared" si="864"/>
        <v>0</v>
      </c>
      <c r="J1194" s="8">
        <f t="shared" si="865"/>
        <v>0</v>
      </c>
      <c r="K1194" s="9">
        <f t="shared" si="866"/>
        <v>0</v>
      </c>
    </row>
    <row r="1195" spans="1:11" x14ac:dyDescent="0.25">
      <c r="A1195" s="5">
        <v>3</v>
      </c>
      <c r="B1195" s="6">
        <f t="shared" ref="B1195:C1195" si="871">B1180</f>
        <v>2</v>
      </c>
      <c r="C1195" s="6">
        <f t="shared" si="871"/>
        <v>2</v>
      </c>
      <c r="D1195" s="8">
        <f>B1195*B1189+C1195*C1189+D1189</f>
        <v>-0.14666666666666961</v>
      </c>
      <c r="E1195" s="6">
        <f t="shared" si="868"/>
        <v>-1</v>
      </c>
      <c r="F1195" s="6">
        <f>$F$10</f>
        <v>-1</v>
      </c>
      <c r="G1195" s="20" t="str">
        <f t="shared" si="869"/>
        <v>B</v>
      </c>
      <c r="H1195" s="20" t="str">
        <f t="shared" si="870"/>
        <v>B</v>
      </c>
      <c r="I1195" s="8">
        <f t="shared" si="864"/>
        <v>0</v>
      </c>
      <c r="J1195" s="8">
        <f t="shared" si="865"/>
        <v>0</v>
      </c>
      <c r="K1195" s="9">
        <f t="shared" si="866"/>
        <v>0</v>
      </c>
    </row>
    <row r="1196" spans="1:11" x14ac:dyDescent="0.25">
      <c r="A1196" s="5">
        <v>4</v>
      </c>
      <c r="B1196" s="6">
        <f t="shared" ref="B1196:C1196" si="872">B1181</f>
        <v>2</v>
      </c>
      <c r="C1196" s="6">
        <f t="shared" si="872"/>
        <v>3</v>
      </c>
      <c r="D1196" s="8">
        <f>B1196*B1189+C1196*C1189+D1189</f>
        <v>0.14666666666666273</v>
      </c>
      <c r="E1196" s="6">
        <f t="shared" si="868"/>
        <v>1</v>
      </c>
      <c r="F1196" s="6">
        <f>$F$11</f>
        <v>1</v>
      </c>
      <c r="G1196" s="20" t="str">
        <f t="shared" si="869"/>
        <v>A</v>
      </c>
      <c r="H1196" s="20" t="str">
        <f t="shared" si="870"/>
        <v>A</v>
      </c>
      <c r="I1196" s="8">
        <f t="shared" si="864"/>
        <v>0</v>
      </c>
      <c r="J1196" s="8">
        <f t="shared" si="865"/>
        <v>0</v>
      </c>
      <c r="K1196" s="9">
        <f t="shared" si="866"/>
        <v>0</v>
      </c>
    </row>
    <row r="1197" spans="1:11" x14ac:dyDescent="0.25">
      <c r="A1197" s="5">
        <v>5</v>
      </c>
      <c r="B1197" s="6">
        <f t="shared" ref="B1197:C1197" si="873">B1182</f>
        <v>5</v>
      </c>
      <c r="C1197" s="6">
        <f t="shared" si="873"/>
        <v>3</v>
      </c>
      <c r="D1197" s="8">
        <f>B1197*B1189+C1197*C1189+D1189</f>
        <v>0.54666666666666131</v>
      </c>
      <c r="E1197" s="6">
        <f t="shared" si="868"/>
        <v>1</v>
      </c>
      <c r="F1197" s="6">
        <f>$F$12</f>
        <v>1</v>
      </c>
      <c r="G1197" s="20" t="str">
        <f t="shared" si="869"/>
        <v>A</v>
      </c>
      <c r="H1197" s="20" t="str">
        <f t="shared" si="870"/>
        <v>A</v>
      </c>
      <c r="I1197" s="8">
        <f t="shared" si="864"/>
        <v>0</v>
      </c>
      <c r="J1197" s="8">
        <f t="shared" si="865"/>
        <v>0</v>
      </c>
      <c r="K1197" s="9">
        <f t="shared" si="866"/>
        <v>0</v>
      </c>
    </row>
    <row r="1198" spans="1:11" x14ac:dyDescent="0.25">
      <c r="A1198" s="5">
        <v>6</v>
      </c>
      <c r="B1198" s="6">
        <f t="shared" ref="B1198:C1198" si="874">B1183</f>
        <v>3</v>
      </c>
      <c r="C1198" s="6">
        <f t="shared" si="874"/>
        <v>2</v>
      </c>
      <c r="D1198" s="8">
        <f>B1198*B1189+C1198*C1189+D1189</f>
        <v>-1.333333333333675E-2</v>
      </c>
      <c r="E1198" s="6">
        <f t="shared" si="868"/>
        <v>-1</v>
      </c>
      <c r="F1198" s="6">
        <f>$F$13</f>
        <v>-1</v>
      </c>
      <c r="G1198" s="20" t="str">
        <f t="shared" si="869"/>
        <v>B</v>
      </c>
      <c r="H1198" s="20" t="str">
        <f t="shared" si="870"/>
        <v>B</v>
      </c>
      <c r="I1198" s="8">
        <f t="shared" si="864"/>
        <v>0</v>
      </c>
      <c r="J1198" s="8">
        <f t="shared" si="865"/>
        <v>0</v>
      </c>
      <c r="K1198" s="9">
        <f t="shared" si="866"/>
        <v>0</v>
      </c>
    </row>
    <row r="1199" spans="1:11" x14ac:dyDescent="0.25">
      <c r="A1199" s="5"/>
      <c r="B1199" s="6"/>
      <c r="C1199" s="6"/>
      <c r="D1199" s="6"/>
      <c r="E1199" s="6"/>
      <c r="F1199" s="6"/>
      <c r="G1199" s="20" t="s">
        <v>8</v>
      </c>
      <c r="H1199" s="20"/>
      <c r="I1199" s="8">
        <f>SUM(I1193:I1198)</f>
        <v>0</v>
      </c>
      <c r="J1199" s="8">
        <f>AVERAGE(J1193:J1198)</f>
        <v>0</v>
      </c>
      <c r="K1199" s="9">
        <f>AVERAGE(K1193:K1198)</f>
        <v>0</v>
      </c>
    </row>
    <row r="1200" spans="1:11" x14ac:dyDescent="0.25">
      <c r="A1200" s="5"/>
      <c r="B1200" s="6"/>
      <c r="C1200" s="6"/>
      <c r="D1200" s="6"/>
      <c r="E1200" s="6"/>
      <c r="F1200" s="6"/>
      <c r="G1200" s="20" t="s">
        <v>9</v>
      </c>
      <c r="H1200" s="20"/>
      <c r="I1200" s="8">
        <f>SUMSQ(I1193:I1198)</f>
        <v>0</v>
      </c>
      <c r="J1200" s="10"/>
      <c r="K1200" s="15"/>
    </row>
    <row r="1201" spans="1:11" x14ac:dyDescent="0.25">
      <c r="A1201" s="11"/>
      <c r="B1201" s="12"/>
      <c r="C1201" s="12"/>
      <c r="D1201" s="12"/>
      <c r="E1201" s="12"/>
      <c r="F1201" s="12"/>
      <c r="G1201" s="21"/>
      <c r="H1201" s="21"/>
      <c r="I1201" s="18"/>
      <c r="J1201" s="13"/>
      <c r="K1201" s="16"/>
    </row>
    <row r="1202" spans="1:11" x14ac:dyDescent="0.25">
      <c r="A1202" s="2" t="s">
        <v>13</v>
      </c>
      <c r="B1202" s="3">
        <f>B1187+1</f>
        <v>81</v>
      </c>
      <c r="C1202" s="3"/>
      <c r="D1202" s="3"/>
      <c r="E1202" s="3"/>
      <c r="F1202" s="3"/>
      <c r="G1202" s="19"/>
      <c r="H1202" s="19"/>
      <c r="I1202" s="17"/>
      <c r="J1202" s="3"/>
      <c r="K1202" s="4"/>
    </row>
    <row r="1203" spans="1:11" x14ac:dyDescent="0.25">
      <c r="A1203" s="5"/>
      <c r="B1203" s="6" t="s">
        <v>4</v>
      </c>
      <c r="C1203" s="6" t="s">
        <v>5</v>
      </c>
      <c r="D1203" s="6" t="s">
        <v>6</v>
      </c>
      <c r="E1203" s="6"/>
      <c r="F1203" s="6"/>
      <c r="G1203" s="20"/>
      <c r="H1203" s="20"/>
      <c r="I1203" s="8"/>
      <c r="J1203" s="6"/>
      <c r="K1203" s="7"/>
    </row>
    <row r="1204" spans="1:11" x14ac:dyDescent="0.25">
      <c r="A1204" s="5">
        <v>1</v>
      </c>
      <c r="B1204" s="14">
        <f>B1189+J1199</f>
        <v>0.13333333333333286</v>
      </c>
      <c r="C1204" s="14">
        <f>C1189+K1199</f>
        <v>0.29333333333333234</v>
      </c>
      <c r="D1204" s="6">
        <f>D1189</f>
        <v>-1</v>
      </c>
      <c r="E1204" s="6"/>
      <c r="F1204" s="6"/>
      <c r="G1204" s="20"/>
      <c r="H1204" s="20"/>
      <c r="I1204" s="8"/>
      <c r="J1204" s="6"/>
      <c r="K1204" s="7"/>
    </row>
    <row r="1205" spans="1:11" x14ac:dyDescent="0.25">
      <c r="A1205" s="5"/>
      <c r="B1205" s="6"/>
      <c r="C1205" s="6"/>
      <c r="D1205" s="6"/>
      <c r="E1205" s="6"/>
      <c r="F1205" s="6"/>
      <c r="G1205" s="20"/>
      <c r="H1205" s="20"/>
      <c r="I1205" s="8"/>
      <c r="J1205" s="6"/>
      <c r="K1205" s="7"/>
    </row>
    <row r="1206" spans="1:11" x14ac:dyDescent="0.25">
      <c r="A1206" s="5"/>
      <c r="B1206" s="6"/>
      <c r="C1206" s="6"/>
      <c r="D1206" s="6"/>
      <c r="E1206" s="6"/>
      <c r="F1206" s="6"/>
      <c r="G1206" s="20"/>
      <c r="H1206" s="20"/>
      <c r="I1206" s="8"/>
      <c r="J1206" s="6"/>
      <c r="K1206" s="7"/>
    </row>
    <row r="1207" spans="1:11" x14ac:dyDescent="0.25">
      <c r="A1207" s="5" t="s">
        <v>10</v>
      </c>
      <c r="B1207" s="6" t="s">
        <v>2</v>
      </c>
      <c r="C1207" s="6" t="s">
        <v>3</v>
      </c>
      <c r="D1207" s="6" t="s">
        <v>0</v>
      </c>
      <c r="E1207" s="6" t="s">
        <v>15</v>
      </c>
      <c r="F1207" s="6" t="s">
        <v>1</v>
      </c>
      <c r="G1207" s="20" t="s">
        <v>17</v>
      </c>
      <c r="H1207" s="20" t="s">
        <v>16</v>
      </c>
      <c r="I1207" s="8" t="s">
        <v>7</v>
      </c>
      <c r="J1207" s="6" t="s">
        <v>11</v>
      </c>
      <c r="K1207" s="7" t="s">
        <v>12</v>
      </c>
    </row>
    <row r="1208" spans="1:11" x14ac:dyDescent="0.25">
      <c r="A1208" s="5">
        <v>1</v>
      </c>
      <c r="B1208" s="6">
        <f>B1193</f>
        <v>4</v>
      </c>
      <c r="C1208" s="6">
        <f>C1193</f>
        <v>3</v>
      </c>
      <c r="D1208" s="8">
        <f>B1208*B1204+C1208*C1204+D1204</f>
        <v>0.41333333333332845</v>
      </c>
      <c r="E1208" s="6">
        <f>IF(D1208&gt;=0,$F$1,$E$1)</f>
        <v>1</v>
      </c>
      <c r="F1208" s="6">
        <f>$F$8</f>
        <v>1</v>
      </c>
      <c r="G1208" s="20" t="str">
        <f>IF(E1208&gt;0,"A","B")</f>
        <v>A</v>
      </c>
      <c r="H1208" s="20" t="str">
        <f>IF(F1208&gt;0,"A","B")</f>
        <v>A</v>
      </c>
      <c r="I1208" s="8">
        <f t="shared" ref="I1208:I1213" si="875">F1208-E1208</f>
        <v>0</v>
      </c>
      <c r="J1208" s="8">
        <f t="shared" ref="J1208:J1213" si="876">$C$1*I1208*B1208</f>
        <v>0</v>
      </c>
      <c r="K1208" s="9">
        <f t="shared" ref="K1208:K1213" si="877">$C$1*I1208*C1208</f>
        <v>0</v>
      </c>
    </row>
    <row r="1209" spans="1:11" x14ac:dyDescent="0.25">
      <c r="A1209" s="5">
        <v>2</v>
      </c>
      <c r="B1209" s="6">
        <f t="shared" ref="B1209:C1209" si="878">B1194</f>
        <v>1</v>
      </c>
      <c r="C1209" s="6">
        <f t="shared" si="878"/>
        <v>1</v>
      </c>
      <c r="D1209" s="8">
        <f>B1209*B1204+C1209*C1204+D1204</f>
        <v>-0.5733333333333348</v>
      </c>
      <c r="E1209" s="6">
        <f t="shared" ref="E1209:E1213" si="879">IF(D1209&gt;=0,$F$1,$E$1)</f>
        <v>-1</v>
      </c>
      <c r="F1209" s="6">
        <f>$F$9</f>
        <v>-1</v>
      </c>
      <c r="G1209" s="20" t="str">
        <f t="shared" ref="G1209:G1213" si="880">IF(E1209&gt;0,"A","B")</f>
        <v>B</v>
      </c>
      <c r="H1209" s="20" t="str">
        <f t="shared" ref="H1209:H1213" si="881">IF(F1209&gt;0,"A","B")</f>
        <v>B</v>
      </c>
      <c r="I1209" s="8">
        <f t="shared" si="875"/>
        <v>0</v>
      </c>
      <c r="J1209" s="8">
        <f t="shared" si="876"/>
        <v>0</v>
      </c>
      <c r="K1209" s="9">
        <f t="shared" si="877"/>
        <v>0</v>
      </c>
    </row>
    <row r="1210" spans="1:11" x14ac:dyDescent="0.25">
      <c r="A1210" s="5">
        <v>3</v>
      </c>
      <c r="B1210" s="6">
        <f t="shared" ref="B1210:C1210" si="882">B1195</f>
        <v>2</v>
      </c>
      <c r="C1210" s="6">
        <f t="shared" si="882"/>
        <v>2</v>
      </c>
      <c r="D1210" s="8">
        <f>B1210*B1204+C1210*C1204+D1204</f>
        <v>-0.14666666666666961</v>
      </c>
      <c r="E1210" s="6">
        <f t="shared" si="879"/>
        <v>-1</v>
      </c>
      <c r="F1210" s="6">
        <f>$F$10</f>
        <v>-1</v>
      </c>
      <c r="G1210" s="20" t="str">
        <f t="shared" si="880"/>
        <v>B</v>
      </c>
      <c r="H1210" s="20" t="str">
        <f t="shared" si="881"/>
        <v>B</v>
      </c>
      <c r="I1210" s="8">
        <f t="shared" si="875"/>
        <v>0</v>
      </c>
      <c r="J1210" s="8">
        <f t="shared" si="876"/>
        <v>0</v>
      </c>
      <c r="K1210" s="9">
        <f t="shared" si="877"/>
        <v>0</v>
      </c>
    </row>
    <row r="1211" spans="1:11" x14ac:dyDescent="0.25">
      <c r="A1211" s="5">
        <v>4</v>
      </c>
      <c r="B1211" s="6">
        <f t="shared" ref="B1211:C1211" si="883">B1196</f>
        <v>2</v>
      </c>
      <c r="C1211" s="6">
        <f t="shared" si="883"/>
        <v>3</v>
      </c>
      <c r="D1211" s="8">
        <f>B1211*B1204+C1211*C1204+D1204</f>
        <v>0.14666666666666273</v>
      </c>
      <c r="E1211" s="6">
        <f t="shared" si="879"/>
        <v>1</v>
      </c>
      <c r="F1211" s="6">
        <f>$F$11</f>
        <v>1</v>
      </c>
      <c r="G1211" s="20" t="str">
        <f t="shared" si="880"/>
        <v>A</v>
      </c>
      <c r="H1211" s="20" t="str">
        <f t="shared" si="881"/>
        <v>A</v>
      </c>
      <c r="I1211" s="8">
        <f t="shared" si="875"/>
        <v>0</v>
      </c>
      <c r="J1211" s="8">
        <f t="shared" si="876"/>
        <v>0</v>
      </c>
      <c r="K1211" s="9">
        <f t="shared" si="877"/>
        <v>0</v>
      </c>
    </row>
    <row r="1212" spans="1:11" x14ac:dyDescent="0.25">
      <c r="A1212" s="5">
        <v>5</v>
      </c>
      <c r="B1212" s="6">
        <f t="shared" ref="B1212:C1212" si="884">B1197</f>
        <v>5</v>
      </c>
      <c r="C1212" s="6">
        <f t="shared" si="884"/>
        <v>3</v>
      </c>
      <c r="D1212" s="8">
        <f>B1212*B1204+C1212*C1204+D1204</f>
        <v>0.54666666666666131</v>
      </c>
      <c r="E1212" s="6">
        <f t="shared" si="879"/>
        <v>1</v>
      </c>
      <c r="F1212" s="6">
        <f>$F$12</f>
        <v>1</v>
      </c>
      <c r="G1212" s="20" t="str">
        <f t="shared" si="880"/>
        <v>A</v>
      </c>
      <c r="H1212" s="20" t="str">
        <f t="shared" si="881"/>
        <v>A</v>
      </c>
      <c r="I1212" s="8">
        <f t="shared" si="875"/>
        <v>0</v>
      </c>
      <c r="J1212" s="8">
        <f t="shared" si="876"/>
        <v>0</v>
      </c>
      <c r="K1212" s="9">
        <f t="shared" si="877"/>
        <v>0</v>
      </c>
    </row>
    <row r="1213" spans="1:11" x14ac:dyDescent="0.25">
      <c r="A1213" s="5">
        <v>6</v>
      </c>
      <c r="B1213" s="6">
        <f t="shared" ref="B1213:C1213" si="885">B1198</f>
        <v>3</v>
      </c>
      <c r="C1213" s="6">
        <f t="shared" si="885"/>
        <v>2</v>
      </c>
      <c r="D1213" s="8">
        <f>B1213*B1204+C1213*C1204+D1204</f>
        <v>-1.333333333333675E-2</v>
      </c>
      <c r="E1213" s="6">
        <f t="shared" si="879"/>
        <v>-1</v>
      </c>
      <c r="F1213" s="6">
        <f>$F$13</f>
        <v>-1</v>
      </c>
      <c r="G1213" s="20" t="str">
        <f t="shared" si="880"/>
        <v>B</v>
      </c>
      <c r="H1213" s="20" t="str">
        <f t="shared" si="881"/>
        <v>B</v>
      </c>
      <c r="I1213" s="8">
        <f t="shared" si="875"/>
        <v>0</v>
      </c>
      <c r="J1213" s="8">
        <f t="shared" si="876"/>
        <v>0</v>
      </c>
      <c r="K1213" s="9">
        <f t="shared" si="877"/>
        <v>0</v>
      </c>
    </row>
    <row r="1214" spans="1:11" x14ac:dyDescent="0.25">
      <c r="A1214" s="5"/>
      <c r="B1214" s="6"/>
      <c r="C1214" s="6"/>
      <c r="D1214" s="6"/>
      <c r="E1214" s="6"/>
      <c r="F1214" s="6"/>
      <c r="G1214" s="20" t="s">
        <v>8</v>
      </c>
      <c r="H1214" s="20"/>
      <c r="I1214" s="8">
        <f>SUM(I1208:I1213)</f>
        <v>0</v>
      </c>
      <c r="J1214" s="8">
        <f>AVERAGE(J1208:J1213)</f>
        <v>0</v>
      </c>
      <c r="K1214" s="9">
        <f>AVERAGE(K1208:K1213)</f>
        <v>0</v>
      </c>
    </row>
    <row r="1215" spans="1:11" x14ac:dyDescent="0.25">
      <c r="A1215" s="5"/>
      <c r="B1215" s="6"/>
      <c r="C1215" s="6"/>
      <c r="D1215" s="6"/>
      <c r="E1215" s="6"/>
      <c r="F1215" s="6"/>
      <c r="G1215" s="20" t="s">
        <v>9</v>
      </c>
      <c r="H1215" s="20"/>
      <c r="I1215" s="8">
        <f>SUMSQ(I1208:I1213)</f>
        <v>0</v>
      </c>
      <c r="J1215" s="10"/>
      <c r="K1215" s="15"/>
    </row>
    <row r="1216" spans="1:11" x14ac:dyDescent="0.25">
      <c r="A1216" s="11"/>
      <c r="B1216" s="12"/>
      <c r="C1216" s="12"/>
      <c r="D1216" s="12"/>
      <c r="E1216" s="12"/>
      <c r="F1216" s="12"/>
      <c r="G1216" s="21"/>
      <c r="H1216" s="21"/>
      <c r="I1216" s="18"/>
      <c r="J1216" s="13"/>
      <c r="K1216" s="16"/>
    </row>
    <row r="1217" spans="1:11" x14ac:dyDescent="0.25">
      <c r="A1217" s="2" t="s">
        <v>13</v>
      </c>
      <c r="B1217" s="3">
        <f>B1202+1</f>
        <v>82</v>
      </c>
      <c r="C1217" s="3"/>
      <c r="D1217" s="3"/>
      <c r="E1217" s="3"/>
      <c r="F1217" s="3"/>
      <c r="G1217" s="19"/>
      <c r="H1217" s="19"/>
      <c r="I1217" s="17"/>
      <c r="J1217" s="3"/>
      <c r="K1217" s="4"/>
    </row>
    <row r="1218" spans="1:11" x14ac:dyDescent="0.25">
      <c r="A1218" s="5"/>
      <c r="B1218" s="6" t="s">
        <v>4</v>
      </c>
      <c r="C1218" s="6" t="s">
        <v>5</v>
      </c>
      <c r="D1218" s="6" t="s">
        <v>6</v>
      </c>
      <c r="E1218" s="6"/>
      <c r="F1218" s="6"/>
      <c r="G1218" s="20"/>
      <c r="H1218" s="20"/>
      <c r="I1218" s="8"/>
      <c r="J1218" s="6"/>
      <c r="K1218" s="7"/>
    </row>
    <row r="1219" spans="1:11" x14ac:dyDescent="0.25">
      <c r="A1219" s="5">
        <v>1</v>
      </c>
      <c r="B1219" s="14">
        <f>B1204+J1214</f>
        <v>0.13333333333333286</v>
      </c>
      <c r="C1219" s="14">
        <f>C1204+K1214</f>
        <v>0.29333333333333234</v>
      </c>
      <c r="D1219" s="6">
        <f>D1204</f>
        <v>-1</v>
      </c>
      <c r="E1219" s="6"/>
      <c r="F1219" s="6"/>
      <c r="G1219" s="20"/>
      <c r="H1219" s="20"/>
      <c r="I1219" s="8"/>
      <c r="J1219" s="6"/>
      <c r="K1219" s="7"/>
    </row>
    <row r="1220" spans="1:11" x14ac:dyDescent="0.25">
      <c r="A1220" s="5"/>
      <c r="B1220" s="6"/>
      <c r="C1220" s="6"/>
      <c r="D1220" s="6"/>
      <c r="E1220" s="6"/>
      <c r="F1220" s="6"/>
      <c r="G1220" s="20"/>
      <c r="H1220" s="20"/>
      <c r="I1220" s="8"/>
      <c r="J1220" s="6"/>
      <c r="K1220" s="7"/>
    </row>
    <row r="1221" spans="1:11" x14ac:dyDescent="0.25">
      <c r="A1221" s="5"/>
      <c r="B1221" s="6"/>
      <c r="C1221" s="6"/>
      <c r="D1221" s="6"/>
      <c r="E1221" s="6"/>
      <c r="F1221" s="6"/>
      <c r="G1221" s="20"/>
      <c r="H1221" s="20"/>
      <c r="I1221" s="8"/>
      <c r="J1221" s="6"/>
      <c r="K1221" s="7"/>
    </row>
    <row r="1222" spans="1:11" x14ac:dyDescent="0.25">
      <c r="A1222" s="5" t="s">
        <v>10</v>
      </c>
      <c r="B1222" s="6" t="s">
        <v>2</v>
      </c>
      <c r="C1222" s="6" t="s">
        <v>3</v>
      </c>
      <c r="D1222" s="6" t="s">
        <v>0</v>
      </c>
      <c r="E1222" s="6" t="s">
        <v>15</v>
      </c>
      <c r="F1222" s="6" t="s">
        <v>1</v>
      </c>
      <c r="G1222" s="20" t="s">
        <v>17</v>
      </c>
      <c r="H1222" s="20" t="s">
        <v>16</v>
      </c>
      <c r="I1222" s="8" t="s">
        <v>7</v>
      </c>
      <c r="J1222" s="6" t="s">
        <v>11</v>
      </c>
      <c r="K1222" s="7" t="s">
        <v>12</v>
      </c>
    </row>
    <row r="1223" spans="1:11" x14ac:dyDescent="0.25">
      <c r="A1223" s="5">
        <v>1</v>
      </c>
      <c r="B1223" s="6">
        <f>B1208</f>
        <v>4</v>
      </c>
      <c r="C1223" s="6">
        <f>C1208</f>
        <v>3</v>
      </c>
      <c r="D1223" s="8">
        <f>B1223*B1219+C1223*C1219+D1219</f>
        <v>0.41333333333332845</v>
      </c>
      <c r="E1223" s="6">
        <f>IF(D1223&gt;=0,$F$1,$E$1)</f>
        <v>1</v>
      </c>
      <c r="F1223" s="6">
        <f>$F$8</f>
        <v>1</v>
      </c>
      <c r="G1223" s="20" t="str">
        <f>IF(E1223&gt;0,"A","B")</f>
        <v>A</v>
      </c>
      <c r="H1223" s="20" t="str">
        <f>IF(F1223&gt;0,"A","B")</f>
        <v>A</v>
      </c>
      <c r="I1223" s="8">
        <f t="shared" ref="I1223:I1228" si="886">F1223-E1223</f>
        <v>0</v>
      </c>
      <c r="J1223" s="8">
        <f t="shared" ref="J1223:J1228" si="887">$C$1*I1223*B1223</f>
        <v>0</v>
      </c>
      <c r="K1223" s="9">
        <f t="shared" ref="K1223:K1228" si="888">$C$1*I1223*C1223</f>
        <v>0</v>
      </c>
    </row>
    <row r="1224" spans="1:11" x14ac:dyDescent="0.25">
      <c r="A1224" s="5">
        <v>2</v>
      </c>
      <c r="B1224" s="6">
        <f t="shared" ref="B1224:C1224" si="889">B1209</f>
        <v>1</v>
      </c>
      <c r="C1224" s="6">
        <f t="shared" si="889"/>
        <v>1</v>
      </c>
      <c r="D1224" s="8">
        <f>B1224*B1219+C1224*C1219+D1219</f>
        <v>-0.5733333333333348</v>
      </c>
      <c r="E1224" s="6">
        <f t="shared" ref="E1224:E1228" si="890">IF(D1224&gt;=0,$F$1,$E$1)</f>
        <v>-1</v>
      </c>
      <c r="F1224" s="6">
        <f>$F$9</f>
        <v>-1</v>
      </c>
      <c r="G1224" s="20" t="str">
        <f t="shared" ref="G1224:G1228" si="891">IF(E1224&gt;0,"A","B")</f>
        <v>B</v>
      </c>
      <c r="H1224" s="20" t="str">
        <f t="shared" ref="H1224:H1228" si="892">IF(F1224&gt;0,"A","B")</f>
        <v>B</v>
      </c>
      <c r="I1224" s="8">
        <f t="shared" si="886"/>
        <v>0</v>
      </c>
      <c r="J1224" s="8">
        <f t="shared" si="887"/>
        <v>0</v>
      </c>
      <c r="K1224" s="9">
        <f t="shared" si="888"/>
        <v>0</v>
      </c>
    </row>
    <row r="1225" spans="1:11" x14ac:dyDescent="0.25">
      <c r="A1225" s="5">
        <v>3</v>
      </c>
      <c r="B1225" s="6">
        <f t="shared" ref="B1225:C1225" si="893">B1210</f>
        <v>2</v>
      </c>
      <c r="C1225" s="6">
        <f t="shared" si="893"/>
        <v>2</v>
      </c>
      <c r="D1225" s="8">
        <f>B1225*B1219+C1225*C1219+D1219</f>
        <v>-0.14666666666666961</v>
      </c>
      <c r="E1225" s="6">
        <f t="shared" si="890"/>
        <v>-1</v>
      </c>
      <c r="F1225" s="6">
        <f>$F$10</f>
        <v>-1</v>
      </c>
      <c r="G1225" s="20" t="str">
        <f t="shared" si="891"/>
        <v>B</v>
      </c>
      <c r="H1225" s="20" t="str">
        <f t="shared" si="892"/>
        <v>B</v>
      </c>
      <c r="I1225" s="8">
        <f t="shared" si="886"/>
        <v>0</v>
      </c>
      <c r="J1225" s="8">
        <f t="shared" si="887"/>
        <v>0</v>
      </c>
      <c r="K1225" s="9">
        <f t="shared" si="888"/>
        <v>0</v>
      </c>
    </row>
    <row r="1226" spans="1:11" x14ac:dyDescent="0.25">
      <c r="A1226" s="5">
        <v>4</v>
      </c>
      <c r="B1226" s="6">
        <f t="shared" ref="B1226:C1226" si="894">B1211</f>
        <v>2</v>
      </c>
      <c r="C1226" s="6">
        <f t="shared" si="894"/>
        <v>3</v>
      </c>
      <c r="D1226" s="8">
        <f>B1226*B1219+C1226*C1219+D1219</f>
        <v>0.14666666666666273</v>
      </c>
      <c r="E1226" s="6">
        <f t="shared" si="890"/>
        <v>1</v>
      </c>
      <c r="F1226" s="6">
        <f>$F$11</f>
        <v>1</v>
      </c>
      <c r="G1226" s="20" t="str">
        <f t="shared" si="891"/>
        <v>A</v>
      </c>
      <c r="H1226" s="20" t="str">
        <f t="shared" si="892"/>
        <v>A</v>
      </c>
      <c r="I1226" s="8">
        <f t="shared" si="886"/>
        <v>0</v>
      </c>
      <c r="J1226" s="8">
        <f t="shared" si="887"/>
        <v>0</v>
      </c>
      <c r="K1226" s="9">
        <f t="shared" si="888"/>
        <v>0</v>
      </c>
    </row>
    <row r="1227" spans="1:11" x14ac:dyDescent="0.25">
      <c r="A1227" s="5">
        <v>5</v>
      </c>
      <c r="B1227" s="6">
        <f t="shared" ref="B1227:C1227" si="895">B1212</f>
        <v>5</v>
      </c>
      <c r="C1227" s="6">
        <f t="shared" si="895"/>
        <v>3</v>
      </c>
      <c r="D1227" s="8">
        <f>B1227*B1219+C1227*C1219+D1219</f>
        <v>0.54666666666666131</v>
      </c>
      <c r="E1227" s="6">
        <f t="shared" si="890"/>
        <v>1</v>
      </c>
      <c r="F1227" s="6">
        <f>$F$12</f>
        <v>1</v>
      </c>
      <c r="G1227" s="20" t="str">
        <f t="shared" si="891"/>
        <v>A</v>
      </c>
      <c r="H1227" s="20" t="str">
        <f t="shared" si="892"/>
        <v>A</v>
      </c>
      <c r="I1227" s="8">
        <f t="shared" si="886"/>
        <v>0</v>
      </c>
      <c r="J1227" s="8">
        <f t="shared" si="887"/>
        <v>0</v>
      </c>
      <c r="K1227" s="9">
        <f t="shared" si="888"/>
        <v>0</v>
      </c>
    </row>
    <row r="1228" spans="1:11" x14ac:dyDescent="0.25">
      <c r="A1228" s="5">
        <v>6</v>
      </c>
      <c r="B1228" s="6">
        <f t="shared" ref="B1228:C1228" si="896">B1213</f>
        <v>3</v>
      </c>
      <c r="C1228" s="6">
        <f t="shared" si="896"/>
        <v>2</v>
      </c>
      <c r="D1228" s="8">
        <f>B1228*B1219+C1228*C1219+D1219</f>
        <v>-1.333333333333675E-2</v>
      </c>
      <c r="E1228" s="6">
        <f t="shared" si="890"/>
        <v>-1</v>
      </c>
      <c r="F1228" s="6">
        <f>$F$13</f>
        <v>-1</v>
      </c>
      <c r="G1228" s="20" t="str">
        <f t="shared" si="891"/>
        <v>B</v>
      </c>
      <c r="H1228" s="20" t="str">
        <f t="shared" si="892"/>
        <v>B</v>
      </c>
      <c r="I1228" s="8">
        <f t="shared" si="886"/>
        <v>0</v>
      </c>
      <c r="J1228" s="8">
        <f t="shared" si="887"/>
        <v>0</v>
      </c>
      <c r="K1228" s="9">
        <f t="shared" si="888"/>
        <v>0</v>
      </c>
    </row>
    <row r="1229" spans="1:11" x14ac:dyDescent="0.25">
      <c r="A1229" s="5"/>
      <c r="B1229" s="6"/>
      <c r="C1229" s="6"/>
      <c r="D1229" s="6"/>
      <c r="E1229" s="6"/>
      <c r="F1229" s="6"/>
      <c r="G1229" s="20" t="s">
        <v>8</v>
      </c>
      <c r="H1229" s="20"/>
      <c r="I1229" s="8">
        <f>SUM(I1223:I1228)</f>
        <v>0</v>
      </c>
      <c r="J1229" s="8">
        <f>AVERAGE(J1223:J1228)</f>
        <v>0</v>
      </c>
      <c r="K1229" s="9">
        <f>AVERAGE(K1223:K1228)</f>
        <v>0</v>
      </c>
    </row>
    <row r="1230" spans="1:11" x14ac:dyDescent="0.25">
      <c r="A1230" s="5"/>
      <c r="B1230" s="6"/>
      <c r="C1230" s="6"/>
      <c r="D1230" s="6"/>
      <c r="E1230" s="6"/>
      <c r="F1230" s="6"/>
      <c r="G1230" s="20" t="s">
        <v>9</v>
      </c>
      <c r="H1230" s="20"/>
      <c r="I1230" s="8">
        <f>SUMSQ(I1223:I1228)</f>
        <v>0</v>
      </c>
      <c r="J1230" s="10"/>
      <c r="K1230" s="15"/>
    </row>
    <row r="1231" spans="1:11" x14ac:dyDescent="0.25">
      <c r="A1231" s="11"/>
      <c r="B1231" s="12"/>
      <c r="C1231" s="12"/>
      <c r="D1231" s="12"/>
      <c r="E1231" s="12"/>
      <c r="F1231" s="12"/>
      <c r="G1231" s="21"/>
      <c r="H1231" s="21"/>
      <c r="I1231" s="18"/>
      <c r="J1231" s="13"/>
      <c r="K1231" s="16"/>
    </row>
    <row r="1232" spans="1:11" x14ac:dyDescent="0.25">
      <c r="A1232" s="2" t="s">
        <v>13</v>
      </c>
      <c r="B1232" s="3">
        <f>B1217+1</f>
        <v>83</v>
      </c>
      <c r="C1232" s="3"/>
      <c r="D1232" s="3"/>
      <c r="E1232" s="3"/>
      <c r="F1232" s="3"/>
      <c r="G1232" s="19"/>
      <c r="H1232" s="19"/>
      <c r="I1232" s="17"/>
      <c r="J1232" s="3"/>
      <c r="K1232" s="4"/>
    </row>
    <row r="1233" spans="1:11" x14ac:dyDescent="0.25">
      <c r="A1233" s="5"/>
      <c r="B1233" s="6" t="s">
        <v>4</v>
      </c>
      <c r="C1233" s="6" t="s">
        <v>5</v>
      </c>
      <c r="D1233" s="6" t="s">
        <v>6</v>
      </c>
      <c r="E1233" s="6"/>
      <c r="F1233" s="6"/>
      <c r="G1233" s="20"/>
      <c r="H1233" s="20"/>
      <c r="I1233" s="8"/>
      <c r="J1233" s="6"/>
      <c r="K1233" s="7"/>
    </row>
    <row r="1234" spans="1:11" x14ac:dyDescent="0.25">
      <c r="A1234" s="5">
        <v>1</v>
      </c>
      <c r="B1234" s="14">
        <f>B1219+J1229</f>
        <v>0.13333333333333286</v>
      </c>
      <c r="C1234" s="14">
        <f>C1219+K1229</f>
        <v>0.29333333333333234</v>
      </c>
      <c r="D1234" s="6">
        <f>D1219</f>
        <v>-1</v>
      </c>
      <c r="E1234" s="6"/>
      <c r="F1234" s="6"/>
      <c r="G1234" s="20"/>
      <c r="H1234" s="20"/>
      <c r="I1234" s="8"/>
      <c r="J1234" s="6"/>
      <c r="K1234" s="7"/>
    </row>
    <row r="1235" spans="1:11" x14ac:dyDescent="0.25">
      <c r="A1235" s="5"/>
      <c r="B1235" s="6"/>
      <c r="C1235" s="6"/>
      <c r="D1235" s="6"/>
      <c r="E1235" s="6"/>
      <c r="F1235" s="6"/>
      <c r="G1235" s="20"/>
      <c r="H1235" s="20"/>
      <c r="I1235" s="8"/>
      <c r="J1235" s="6"/>
      <c r="K1235" s="7"/>
    </row>
    <row r="1236" spans="1:11" x14ac:dyDescent="0.25">
      <c r="A1236" s="5"/>
      <c r="B1236" s="6"/>
      <c r="C1236" s="6"/>
      <c r="D1236" s="6"/>
      <c r="E1236" s="6"/>
      <c r="F1236" s="6"/>
      <c r="G1236" s="20"/>
      <c r="H1236" s="20"/>
      <c r="I1236" s="8"/>
      <c r="J1236" s="6"/>
      <c r="K1236" s="7"/>
    </row>
    <row r="1237" spans="1:11" x14ac:dyDescent="0.25">
      <c r="A1237" s="5" t="s">
        <v>10</v>
      </c>
      <c r="B1237" s="6" t="s">
        <v>2</v>
      </c>
      <c r="C1237" s="6" t="s">
        <v>3</v>
      </c>
      <c r="D1237" s="6" t="s">
        <v>0</v>
      </c>
      <c r="E1237" s="6" t="s">
        <v>15</v>
      </c>
      <c r="F1237" s="6" t="s">
        <v>1</v>
      </c>
      <c r="G1237" s="20" t="s">
        <v>17</v>
      </c>
      <c r="H1237" s="20" t="s">
        <v>16</v>
      </c>
      <c r="I1237" s="8" t="s">
        <v>7</v>
      </c>
      <c r="J1237" s="6" t="s">
        <v>11</v>
      </c>
      <c r="K1237" s="7" t="s">
        <v>12</v>
      </c>
    </row>
    <row r="1238" spans="1:11" x14ac:dyDescent="0.25">
      <c r="A1238" s="5">
        <v>1</v>
      </c>
      <c r="B1238" s="6">
        <f>B1223</f>
        <v>4</v>
      </c>
      <c r="C1238" s="6">
        <f>C1223</f>
        <v>3</v>
      </c>
      <c r="D1238" s="8">
        <f>B1238*B1234+C1238*C1234+D1234</f>
        <v>0.41333333333332845</v>
      </c>
      <c r="E1238" s="6">
        <f>IF(D1238&gt;=0,$F$1,$E$1)</f>
        <v>1</v>
      </c>
      <c r="F1238" s="6">
        <f>$F$8</f>
        <v>1</v>
      </c>
      <c r="G1238" s="20" t="str">
        <f>IF(E1238&gt;0,"A","B")</f>
        <v>A</v>
      </c>
      <c r="H1238" s="20" t="str">
        <f>IF(F1238&gt;0,"A","B")</f>
        <v>A</v>
      </c>
      <c r="I1238" s="8">
        <f t="shared" ref="I1238:I1243" si="897">F1238-E1238</f>
        <v>0</v>
      </c>
      <c r="J1238" s="8">
        <f t="shared" ref="J1238:J1243" si="898">$C$1*I1238*B1238</f>
        <v>0</v>
      </c>
      <c r="K1238" s="9">
        <f t="shared" ref="K1238:K1243" si="899">$C$1*I1238*C1238</f>
        <v>0</v>
      </c>
    </row>
    <row r="1239" spans="1:11" x14ac:dyDescent="0.25">
      <c r="A1239" s="5">
        <v>2</v>
      </c>
      <c r="B1239" s="6">
        <f t="shared" ref="B1239:C1239" si="900">B1224</f>
        <v>1</v>
      </c>
      <c r="C1239" s="6">
        <f t="shared" si="900"/>
        <v>1</v>
      </c>
      <c r="D1239" s="8">
        <f>B1239*B1234+C1239*C1234+D1234</f>
        <v>-0.5733333333333348</v>
      </c>
      <c r="E1239" s="6">
        <f t="shared" ref="E1239:E1243" si="901">IF(D1239&gt;=0,$F$1,$E$1)</f>
        <v>-1</v>
      </c>
      <c r="F1239" s="6">
        <f>$F$9</f>
        <v>-1</v>
      </c>
      <c r="G1239" s="20" t="str">
        <f t="shared" ref="G1239:G1243" si="902">IF(E1239&gt;0,"A","B")</f>
        <v>B</v>
      </c>
      <c r="H1239" s="20" t="str">
        <f t="shared" ref="H1239:H1243" si="903">IF(F1239&gt;0,"A","B")</f>
        <v>B</v>
      </c>
      <c r="I1239" s="8">
        <f t="shared" si="897"/>
        <v>0</v>
      </c>
      <c r="J1239" s="8">
        <f t="shared" si="898"/>
        <v>0</v>
      </c>
      <c r="K1239" s="9">
        <f t="shared" si="899"/>
        <v>0</v>
      </c>
    </row>
    <row r="1240" spans="1:11" x14ac:dyDescent="0.25">
      <c r="A1240" s="5">
        <v>3</v>
      </c>
      <c r="B1240" s="6">
        <f t="shared" ref="B1240:C1240" si="904">B1225</f>
        <v>2</v>
      </c>
      <c r="C1240" s="6">
        <f t="shared" si="904"/>
        <v>2</v>
      </c>
      <c r="D1240" s="8">
        <f>B1240*B1234+C1240*C1234+D1234</f>
        <v>-0.14666666666666961</v>
      </c>
      <c r="E1240" s="6">
        <f t="shared" si="901"/>
        <v>-1</v>
      </c>
      <c r="F1240" s="6">
        <f>$F$10</f>
        <v>-1</v>
      </c>
      <c r="G1240" s="20" t="str">
        <f t="shared" si="902"/>
        <v>B</v>
      </c>
      <c r="H1240" s="20" t="str">
        <f t="shared" si="903"/>
        <v>B</v>
      </c>
      <c r="I1240" s="8">
        <f t="shared" si="897"/>
        <v>0</v>
      </c>
      <c r="J1240" s="8">
        <f t="shared" si="898"/>
        <v>0</v>
      </c>
      <c r="K1240" s="9">
        <f t="shared" si="899"/>
        <v>0</v>
      </c>
    </row>
    <row r="1241" spans="1:11" x14ac:dyDescent="0.25">
      <c r="A1241" s="5">
        <v>4</v>
      </c>
      <c r="B1241" s="6">
        <f t="shared" ref="B1241:C1241" si="905">B1226</f>
        <v>2</v>
      </c>
      <c r="C1241" s="6">
        <f t="shared" si="905"/>
        <v>3</v>
      </c>
      <c r="D1241" s="8">
        <f>B1241*B1234+C1241*C1234+D1234</f>
        <v>0.14666666666666273</v>
      </c>
      <c r="E1241" s="6">
        <f t="shared" si="901"/>
        <v>1</v>
      </c>
      <c r="F1241" s="6">
        <f>$F$11</f>
        <v>1</v>
      </c>
      <c r="G1241" s="20" t="str">
        <f t="shared" si="902"/>
        <v>A</v>
      </c>
      <c r="H1241" s="20" t="str">
        <f t="shared" si="903"/>
        <v>A</v>
      </c>
      <c r="I1241" s="8">
        <f t="shared" si="897"/>
        <v>0</v>
      </c>
      <c r="J1241" s="8">
        <f t="shared" si="898"/>
        <v>0</v>
      </c>
      <c r="K1241" s="9">
        <f t="shared" si="899"/>
        <v>0</v>
      </c>
    </row>
    <row r="1242" spans="1:11" x14ac:dyDescent="0.25">
      <c r="A1242" s="5">
        <v>5</v>
      </c>
      <c r="B1242" s="6">
        <f t="shared" ref="B1242:C1242" si="906">B1227</f>
        <v>5</v>
      </c>
      <c r="C1242" s="6">
        <f t="shared" si="906"/>
        <v>3</v>
      </c>
      <c r="D1242" s="8">
        <f>B1242*B1234+C1242*C1234+D1234</f>
        <v>0.54666666666666131</v>
      </c>
      <c r="E1242" s="6">
        <f t="shared" si="901"/>
        <v>1</v>
      </c>
      <c r="F1242" s="6">
        <f>$F$12</f>
        <v>1</v>
      </c>
      <c r="G1242" s="20" t="str">
        <f t="shared" si="902"/>
        <v>A</v>
      </c>
      <c r="H1242" s="20" t="str">
        <f t="shared" si="903"/>
        <v>A</v>
      </c>
      <c r="I1242" s="8">
        <f t="shared" si="897"/>
        <v>0</v>
      </c>
      <c r="J1242" s="8">
        <f t="shared" si="898"/>
        <v>0</v>
      </c>
      <c r="K1242" s="9">
        <f t="shared" si="899"/>
        <v>0</v>
      </c>
    </row>
    <row r="1243" spans="1:11" x14ac:dyDescent="0.25">
      <c r="A1243" s="5">
        <v>6</v>
      </c>
      <c r="B1243" s="6">
        <f t="shared" ref="B1243:C1243" si="907">B1228</f>
        <v>3</v>
      </c>
      <c r="C1243" s="6">
        <f t="shared" si="907"/>
        <v>2</v>
      </c>
      <c r="D1243" s="8">
        <f>B1243*B1234+C1243*C1234+D1234</f>
        <v>-1.333333333333675E-2</v>
      </c>
      <c r="E1243" s="6">
        <f t="shared" si="901"/>
        <v>-1</v>
      </c>
      <c r="F1243" s="6">
        <f>$F$13</f>
        <v>-1</v>
      </c>
      <c r="G1243" s="20" t="str">
        <f t="shared" si="902"/>
        <v>B</v>
      </c>
      <c r="H1243" s="20" t="str">
        <f t="shared" si="903"/>
        <v>B</v>
      </c>
      <c r="I1243" s="8">
        <f t="shared" si="897"/>
        <v>0</v>
      </c>
      <c r="J1243" s="8">
        <f t="shared" si="898"/>
        <v>0</v>
      </c>
      <c r="K1243" s="9">
        <f t="shared" si="899"/>
        <v>0</v>
      </c>
    </row>
    <row r="1244" spans="1:11" x14ac:dyDescent="0.25">
      <c r="A1244" s="5"/>
      <c r="B1244" s="6"/>
      <c r="C1244" s="6"/>
      <c r="D1244" s="6"/>
      <c r="E1244" s="6"/>
      <c r="F1244" s="6"/>
      <c r="G1244" s="20" t="s">
        <v>8</v>
      </c>
      <c r="H1244" s="20"/>
      <c r="I1244" s="8">
        <f>SUM(I1238:I1243)</f>
        <v>0</v>
      </c>
      <c r="J1244" s="8">
        <f>AVERAGE(J1238:J1243)</f>
        <v>0</v>
      </c>
      <c r="K1244" s="9">
        <f>AVERAGE(K1238:K1243)</f>
        <v>0</v>
      </c>
    </row>
    <row r="1245" spans="1:11" x14ac:dyDescent="0.25">
      <c r="A1245" s="5"/>
      <c r="B1245" s="6"/>
      <c r="C1245" s="6"/>
      <c r="D1245" s="6"/>
      <c r="E1245" s="6"/>
      <c r="F1245" s="6"/>
      <c r="G1245" s="20" t="s">
        <v>9</v>
      </c>
      <c r="H1245" s="20"/>
      <c r="I1245" s="8">
        <f>SUMSQ(I1238:I1243)</f>
        <v>0</v>
      </c>
      <c r="J1245" s="10"/>
      <c r="K1245" s="15"/>
    </row>
    <row r="1246" spans="1:11" x14ac:dyDescent="0.25">
      <c r="A1246" s="11"/>
      <c r="B1246" s="12"/>
      <c r="C1246" s="12"/>
      <c r="D1246" s="12"/>
      <c r="E1246" s="12"/>
      <c r="F1246" s="12"/>
      <c r="G1246" s="21"/>
      <c r="H1246" s="21"/>
      <c r="I1246" s="18"/>
      <c r="J1246" s="13"/>
      <c r="K1246" s="16"/>
    </row>
    <row r="1247" spans="1:11" x14ac:dyDescent="0.25">
      <c r="A1247" s="2" t="s">
        <v>13</v>
      </c>
      <c r="B1247" s="3">
        <f>B1232+1</f>
        <v>84</v>
      </c>
      <c r="C1247" s="3"/>
      <c r="D1247" s="3"/>
      <c r="E1247" s="3"/>
      <c r="F1247" s="3"/>
      <c r="G1247" s="19"/>
      <c r="H1247" s="19"/>
      <c r="I1247" s="17"/>
      <c r="J1247" s="3"/>
      <c r="K1247" s="4"/>
    </row>
    <row r="1248" spans="1:11" x14ac:dyDescent="0.25">
      <c r="A1248" s="5"/>
      <c r="B1248" s="6" t="s">
        <v>4</v>
      </c>
      <c r="C1248" s="6" t="s">
        <v>5</v>
      </c>
      <c r="D1248" s="6" t="s">
        <v>6</v>
      </c>
      <c r="E1248" s="6"/>
      <c r="F1248" s="6"/>
      <c r="G1248" s="20"/>
      <c r="H1248" s="20"/>
      <c r="I1248" s="8"/>
      <c r="J1248" s="6"/>
      <c r="K1248" s="7"/>
    </row>
    <row r="1249" spans="1:11" x14ac:dyDescent="0.25">
      <c r="A1249" s="5">
        <v>1</v>
      </c>
      <c r="B1249" s="14">
        <f>B1234+J1244</f>
        <v>0.13333333333333286</v>
      </c>
      <c r="C1249" s="14">
        <f>C1234+K1244</f>
        <v>0.29333333333333234</v>
      </c>
      <c r="D1249" s="6">
        <f>D1234</f>
        <v>-1</v>
      </c>
      <c r="E1249" s="6"/>
      <c r="F1249" s="6"/>
      <c r="G1249" s="20"/>
      <c r="H1249" s="20"/>
      <c r="I1249" s="8"/>
      <c r="J1249" s="6"/>
      <c r="K1249" s="7"/>
    </row>
    <row r="1250" spans="1:11" x14ac:dyDescent="0.25">
      <c r="A1250" s="5"/>
      <c r="B1250" s="6"/>
      <c r="C1250" s="6"/>
      <c r="D1250" s="6"/>
      <c r="E1250" s="6"/>
      <c r="F1250" s="6"/>
      <c r="G1250" s="20"/>
      <c r="H1250" s="20"/>
      <c r="I1250" s="8"/>
      <c r="J1250" s="6"/>
      <c r="K1250" s="7"/>
    </row>
    <row r="1251" spans="1:11" x14ac:dyDescent="0.25">
      <c r="A1251" s="5"/>
      <c r="B1251" s="6"/>
      <c r="C1251" s="6"/>
      <c r="D1251" s="6"/>
      <c r="E1251" s="6"/>
      <c r="F1251" s="6"/>
      <c r="G1251" s="20"/>
      <c r="H1251" s="20"/>
      <c r="I1251" s="8"/>
      <c r="J1251" s="6"/>
      <c r="K1251" s="7"/>
    </row>
    <row r="1252" spans="1:11" x14ac:dyDescent="0.25">
      <c r="A1252" s="5" t="s">
        <v>10</v>
      </c>
      <c r="B1252" s="6" t="s">
        <v>2</v>
      </c>
      <c r="C1252" s="6" t="s">
        <v>3</v>
      </c>
      <c r="D1252" s="6" t="s">
        <v>0</v>
      </c>
      <c r="E1252" s="6" t="s">
        <v>15</v>
      </c>
      <c r="F1252" s="6" t="s">
        <v>1</v>
      </c>
      <c r="G1252" s="20" t="s">
        <v>17</v>
      </c>
      <c r="H1252" s="20" t="s">
        <v>16</v>
      </c>
      <c r="I1252" s="8" t="s">
        <v>7</v>
      </c>
      <c r="J1252" s="6" t="s">
        <v>11</v>
      </c>
      <c r="K1252" s="7" t="s">
        <v>12</v>
      </c>
    </row>
    <row r="1253" spans="1:11" x14ac:dyDescent="0.25">
      <c r="A1253" s="5">
        <v>1</v>
      </c>
      <c r="B1253" s="6">
        <f>B1238</f>
        <v>4</v>
      </c>
      <c r="C1253" s="6">
        <f>C1238</f>
        <v>3</v>
      </c>
      <c r="D1253" s="8">
        <f>B1253*B1249+C1253*C1249+D1249</f>
        <v>0.41333333333332845</v>
      </c>
      <c r="E1253" s="6">
        <f>IF(D1253&gt;=0,$F$1,$E$1)</f>
        <v>1</v>
      </c>
      <c r="F1253" s="6">
        <f>$F$8</f>
        <v>1</v>
      </c>
      <c r="G1253" s="20" t="str">
        <f>IF(E1253&gt;0,"A","B")</f>
        <v>A</v>
      </c>
      <c r="H1253" s="20" t="str">
        <f>IF(F1253&gt;0,"A","B")</f>
        <v>A</v>
      </c>
      <c r="I1253" s="8">
        <f t="shared" ref="I1253:I1258" si="908">F1253-E1253</f>
        <v>0</v>
      </c>
      <c r="J1253" s="8">
        <f t="shared" ref="J1253:J1258" si="909">$C$1*I1253*B1253</f>
        <v>0</v>
      </c>
      <c r="K1253" s="9">
        <f t="shared" ref="K1253:K1258" si="910">$C$1*I1253*C1253</f>
        <v>0</v>
      </c>
    </row>
    <row r="1254" spans="1:11" x14ac:dyDescent="0.25">
      <c r="A1254" s="5">
        <v>2</v>
      </c>
      <c r="B1254" s="6">
        <f t="shared" ref="B1254:C1254" si="911">B1239</f>
        <v>1</v>
      </c>
      <c r="C1254" s="6">
        <f t="shared" si="911"/>
        <v>1</v>
      </c>
      <c r="D1254" s="8">
        <f>B1254*B1249+C1254*C1249+D1249</f>
        <v>-0.5733333333333348</v>
      </c>
      <c r="E1254" s="6">
        <f t="shared" ref="E1254:E1258" si="912">IF(D1254&gt;=0,$F$1,$E$1)</f>
        <v>-1</v>
      </c>
      <c r="F1254" s="6">
        <f>$F$9</f>
        <v>-1</v>
      </c>
      <c r="G1254" s="20" t="str">
        <f t="shared" ref="G1254:G1258" si="913">IF(E1254&gt;0,"A","B")</f>
        <v>B</v>
      </c>
      <c r="H1254" s="20" t="str">
        <f t="shared" ref="H1254:H1258" si="914">IF(F1254&gt;0,"A","B")</f>
        <v>B</v>
      </c>
      <c r="I1254" s="8">
        <f t="shared" si="908"/>
        <v>0</v>
      </c>
      <c r="J1254" s="8">
        <f t="shared" si="909"/>
        <v>0</v>
      </c>
      <c r="K1254" s="9">
        <f t="shared" si="910"/>
        <v>0</v>
      </c>
    </row>
    <row r="1255" spans="1:11" x14ac:dyDescent="0.25">
      <c r="A1255" s="5">
        <v>3</v>
      </c>
      <c r="B1255" s="6">
        <f t="shared" ref="B1255:C1255" si="915">B1240</f>
        <v>2</v>
      </c>
      <c r="C1255" s="6">
        <f t="shared" si="915"/>
        <v>2</v>
      </c>
      <c r="D1255" s="8">
        <f>B1255*B1249+C1255*C1249+D1249</f>
        <v>-0.14666666666666961</v>
      </c>
      <c r="E1255" s="6">
        <f t="shared" si="912"/>
        <v>-1</v>
      </c>
      <c r="F1255" s="6">
        <f>$F$10</f>
        <v>-1</v>
      </c>
      <c r="G1255" s="20" t="str">
        <f t="shared" si="913"/>
        <v>B</v>
      </c>
      <c r="H1255" s="20" t="str">
        <f t="shared" si="914"/>
        <v>B</v>
      </c>
      <c r="I1255" s="8">
        <f t="shared" si="908"/>
        <v>0</v>
      </c>
      <c r="J1255" s="8">
        <f t="shared" si="909"/>
        <v>0</v>
      </c>
      <c r="K1255" s="9">
        <f t="shared" si="910"/>
        <v>0</v>
      </c>
    </row>
    <row r="1256" spans="1:11" x14ac:dyDescent="0.25">
      <c r="A1256" s="5">
        <v>4</v>
      </c>
      <c r="B1256" s="6">
        <f t="shared" ref="B1256:C1256" si="916">B1241</f>
        <v>2</v>
      </c>
      <c r="C1256" s="6">
        <f t="shared" si="916"/>
        <v>3</v>
      </c>
      <c r="D1256" s="8">
        <f>B1256*B1249+C1256*C1249+D1249</f>
        <v>0.14666666666666273</v>
      </c>
      <c r="E1256" s="6">
        <f t="shared" si="912"/>
        <v>1</v>
      </c>
      <c r="F1256" s="6">
        <f>$F$11</f>
        <v>1</v>
      </c>
      <c r="G1256" s="20" t="str">
        <f t="shared" si="913"/>
        <v>A</v>
      </c>
      <c r="H1256" s="20" t="str">
        <f t="shared" si="914"/>
        <v>A</v>
      </c>
      <c r="I1256" s="8">
        <f t="shared" si="908"/>
        <v>0</v>
      </c>
      <c r="J1256" s="8">
        <f t="shared" si="909"/>
        <v>0</v>
      </c>
      <c r="K1256" s="9">
        <f t="shared" si="910"/>
        <v>0</v>
      </c>
    </row>
    <row r="1257" spans="1:11" x14ac:dyDescent="0.25">
      <c r="A1257" s="5">
        <v>5</v>
      </c>
      <c r="B1257" s="6">
        <f t="shared" ref="B1257:C1257" si="917">B1242</f>
        <v>5</v>
      </c>
      <c r="C1257" s="6">
        <f t="shared" si="917"/>
        <v>3</v>
      </c>
      <c r="D1257" s="8">
        <f>B1257*B1249+C1257*C1249+D1249</f>
        <v>0.54666666666666131</v>
      </c>
      <c r="E1257" s="6">
        <f t="shared" si="912"/>
        <v>1</v>
      </c>
      <c r="F1257" s="6">
        <f>$F$12</f>
        <v>1</v>
      </c>
      <c r="G1257" s="20" t="str">
        <f t="shared" si="913"/>
        <v>A</v>
      </c>
      <c r="H1257" s="20" t="str">
        <f t="shared" si="914"/>
        <v>A</v>
      </c>
      <c r="I1257" s="8">
        <f t="shared" si="908"/>
        <v>0</v>
      </c>
      <c r="J1257" s="8">
        <f t="shared" si="909"/>
        <v>0</v>
      </c>
      <c r="K1257" s="9">
        <f t="shared" si="910"/>
        <v>0</v>
      </c>
    </row>
    <row r="1258" spans="1:11" x14ac:dyDescent="0.25">
      <c r="A1258" s="5">
        <v>6</v>
      </c>
      <c r="B1258" s="6">
        <f t="shared" ref="B1258:C1258" si="918">B1243</f>
        <v>3</v>
      </c>
      <c r="C1258" s="6">
        <f t="shared" si="918"/>
        <v>2</v>
      </c>
      <c r="D1258" s="8">
        <f>B1258*B1249+C1258*C1249+D1249</f>
        <v>-1.333333333333675E-2</v>
      </c>
      <c r="E1258" s="6">
        <f t="shared" si="912"/>
        <v>-1</v>
      </c>
      <c r="F1258" s="6">
        <f>$F$13</f>
        <v>-1</v>
      </c>
      <c r="G1258" s="20" t="str">
        <f t="shared" si="913"/>
        <v>B</v>
      </c>
      <c r="H1258" s="20" t="str">
        <f t="shared" si="914"/>
        <v>B</v>
      </c>
      <c r="I1258" s="8">
        <f t="shared" si="908"/>
        <v>0</v>
      </c>
      <c r="J1258" s="8">
        <f t="shared" si="909"/>
        <v>0</v>
      </c>
      <c r="K1258" s="9">
        <f t="shared" si="910"/>
        <v>0</v>
      </c>
    </row>
    <row r="1259" spans="1:11" x14ac:dyDescent="0.25">
      <c r="A1259" s="5"/>
      <c r="B1259" s="6"/>
      <c r="C1259" s="6"/>
      <c r="D1259" s="6"/>
      <c r="E1259" s="6"/>
      <c r="F1259" s="6"/>
      <c r="G1259" s="20" t="s">
        <v>8</v>
      </c>
      <c r="H1259" s="20"/>
      <c r="I1259" s="8">
        <f>SUM(I1253:I1258)</f>
        <v>0</v>
      </c>
      <c r="J1259" s="8">
        <f>AVERAGE(J1253:J1258)</f>
        <v>0</v>
      </c>
      <c r="K1259" s="9">
        <f>AVERAGE(K1253:K1258)</f>
        <v>0</v>
      </c>
    </row>
    <row r="1260" spans="1:11" x14ac:dyDescent="0.25">
      <c r="A1260" s="5"/>
      <c r="B1260" s="6"/>
      <c r="C1260" s="6"/>
      <c r="D1260" s="6"/>
      <c r="E1260" s="6"/>
      <c r="F1260" s="6"/>
      <c r="G1260" s="20" t="s">
        <v>9</v>
      </c>
      <c r="H1260" s="20"/>
      <c r="I1260" s="8">
        <f>SUMSQ(I1253:I1258)</f>
        <v>0</v>
      </c>
      <c r="J1260" s="10"/>
      <c r="K1260" s="15"/>
    </row>
    <row r="1261" spans="1:11" x14ac:dyDescent="0.25">
      <c r="A1261" s="11"/>
      <c r="B1261" s="12"/>
      <c r="C1261" s="12"/>
      <c r="D1261" s="12"/>
      <c r="E1261" s="12"/>
      <c r="F1261" s="12"/>
      <c r="G1261" s="21"/>
      <c r="H1261" s="21"/>
      <c r="I1261" s="18"/>
      <c r="J1261" s="13"/>
      <c r="K1261" s="16"/>
    </row>
    <row r="1262" spans="1:11" x14ac:dyDescent="0.25">
      <c r="A1262" s="2" t="s">
        <v>13</v>
      </c>
      <c r="B1262" s="3">
        <f>B1247+1</f>
        <v>85</v>
      </c>
      <c r="C1262" s="3"/>
      <c r="D1262" s="3"/>
      <c r="E1262" s="3"/>
      <c r="F1262" s="3"/>
      <c r="G1262" s="19"/>
      <c r="H1262" s="19"/>
      <c r="I1262" s="17"/>
      <c r="J1262" s="3"/>
      <c r="K1262" s="4"/>
    </row>
    <row r="1263" spans="1:11" x14ac:dyDescent="0.25">
      <c r="A1263" s="5"/>
      <c r="B1263" s="6" t="s">
        <v>4</v>
      </c>
      <c r="C1263" s="6" t="s">
        <v>5</v>
      </c>
      <c r="D1263" s="6" t="s">
        <v>6</v>
      </c>
      <c r="E1263" s="6"/>
      <c r="F1263" s="6"/>
      <c r="G1263" s="20"/>
      <c r="H1263" s="20"/>
      <c r="I1263" s="8"/>
      <c r="J1263" s="6"/>
      <c r="K1263" s="7"/>
    </row>
    <row r="1264" spans="1:11" x14ac:dyDescent="0.25">
      <c r="A1264" s="5">
        <v>1</v>
      </c>
      <c r="B1264" s="14">
        <f>B1249+J1259</f>
        <v>0.13333333333333286</v>
      </c>
      <c r="C1264" s="14">
        <f>C1249+K1259</f>
        <v>0.29333333333333234</v>
      </c>
      <c r="D1264" s="6">
        <f>D1249</f>
        <v>-1</v>
      </c>
      <c r="E1264" s="6"/>
      <c r="F1264" s="6"/>
      <c r="G1264" s="20"/>
      <c r="H1264" s="20"/>
      <c r="I1264" s="8"/>
      <c r="J1264" s="6"/>
      <c r="K1264" s="7"/>
    </row>
    <row r="1265" spans="1:11" x14ac:dyDescent="0.25">
      <c r="A1265" s="5"/>
      <c r="B1265" s="6"/>
      <c r="C1265" s="6"/>
      <c r="D1265" s="6"/>
      <c r="E1265" s="6"/>
      <c r="F1265" s="6"/>
      <c r="G1265" s="20"/>
      <c r="H1265" s="20"/>
      <c r="I1265" s="8"/>
      <c r="J1265" s="6"/>
      <c r="K1265" s="7"/>
    </row>
    <row r="1266" spans="1:11" x14ac:dyDescent="0.25">
      <c r="A1266" s="5"/>
      <c r="B1266" s="6"/>
      <c r="C1266" s="6"/>
      <c r="D1266" s="6"/>
      <c r="E1266" s="6"/>
      <c r="F1266" s="6"/>
      <c r="G1266" s="20"/>
      <c r="H1266" s="20"/>
      <c r="I1266" s="8"/>
      <c r="J1266" s="6"/>
      <c r="K1266" s="7"/>
    </row>
    <row r="1267" spans="1:11" x14ac:dyDescent="0.25">
      <c r="A1267" s="5" t="s">
        <v>10</v>
      </c>
      <c r="B1267" s="6" t="s">
        <v>2</v>
      </c>
      <c r="C1267" s="6" t="s">
        <v>3</v>
      </c>
      <c r="D1267" s="6" t="s">
        <v>0</v>
      </c>
      <c r="E1267" s="6" t="s">
        <v>15</v>
      </c>
      <c r="F1267" s="6" t="s">
        <v>1</v>
      </c>
      <c r="G1267" s="20" t="s">
        <v>17</v>
      </c>
      <c r="H1267" s="20" t="s">
        <v>16</v>
      </c>
      <c r="I1267" s="8" t="s">
        <v>7</v>
      </c>
      <c r="J1267" s="6" t="s">
        <v>11</v>
      </c>
      <c r="K1267" s="7" t="s">
        <v>12</v>
      </c>
    </row>
    <row r="1268" spans="1:11" x14ac:dyDescent="0.25">
      <c r="A1268" s="5">
        <v>1</v>
      </c>
      <c r="B1268" s="6">
        <f>B1253</f>
        <v>4</v>
      </c>
      <c r="C1268" s="6">
        <f>C1253</f>
        <v>3</v>
      </c>
      <c r="D1268" s="8">
        <f>B1268*B1264+C1268*C1264+D1264</f>
        <v>0.41333333333332845</v>
      </c>
      <c r="E1268" s="6">
        <f>IF(D1268&gt;=0,$F$1,$E$1)</f>
        <v>1</v>
      </c>
      <c r="F1268" s="6">
        <f>$F$8</f>
        <v>1</v>
      </c>
      <c r="G1268" s="20" t="str">
        <f>IF(E1268&gt;0,"A","B")</f>
        <v>A</v>
      </c>
      <c r="H1268" s="20" t="str">
        <f>IF(F1268&gt;0,"A","B")</f>
        <v>A</v>
      </c>
      <c r="I1268" s="8">
        <f t="shared" ref="I1268:I1273" si="919">F1268-E1268</f>
        <v>0</v>
      </c>
      <c r="J1268" s="8">
        <f t="shared" ref="J1268:J1273" si="920">$C$1*I1268*B1268</f>
        <v>0</v>
      </c>
      <c r="K1268" s="9">
        <f t="shared" ref="K1268:K1273" si="921">$C$1*I1268*C1268</f>
        <v>0</v>
      </c>
    </row>
    <row r="1269" spans="1:11" x14ac:dyDescent="0.25">
      <c r="A1269" s="5">
        <v>2</v>
      </c>
      <c r="B1269" s="6">
        <f t="shared" ref="B1269:C1269" si="922">B1254</f>
        <v>1</v>
      </c>
      <c r="C1269" s="6">
        <f t="shared" si="922"/>
        <v>1</v>
      </c>
      <c r="D1269" s="8">
        <f>B1269*B1264+C1269*C1264+D1264</f>
        <v>-0.5733333333333348</v>
      </c>
      <c r="E1269" s="6">
        <f t="shared" ref="E1269:E1273" si="923">IF(D1269&gt;=0,$F$1,$E$1)</f>
        <v>-1</v>
      </c>
      <c r="F1269" s="6">
        <f>$F$9</f>
        <v>-1</v>
      </c>
      <c r="G1269" s="20" t="str">
        <f t="shared" ref="G1269:G1273" si="924">IF(E1269&gt;0,"A","B")</f>
        <v>B</v>
      </c>
      <c r="H1269" s="20" t="str">
        <f t="shared" ref="H1269:H1273" si="925">IF(F1269&gt;0,"A","B")</f>
        <v>B</v>
      </c>
      <c r="I1269" s="8">
        <f t="shared" si="919"/>
        <v>0</v>
      </c>
      <c r="J1269" s="8">
        <f t="shared" si="920"/>
        <v>0</v>
      </c>
      <c r="K1269" s="9">
        <f t="shared" si="921"/>
        <v>0</v>
      </c>
    </row>
    <row r="1270" spans="1:11" x14ac:dyDescent="0.25">
      <c r="A1270" s="5">
        <v>3</v>
      </c>
      <c r="B1270" s="6">
        <f t="shared" ref="B1270:C1270" si="926">B1255</f>
        <v>2</v>
      </c>
      <c r="C1270" s="6">
        <f t="shared" si="926"/>
        <v>2</v>
      </c>
      <c r="D1270" s="8">
        <f>B1270*B1264+C1270*C1264+D1264</f>
        <v>-0.14666666666666961</v>
      </c>
      <c r="E1270" s="6">
        <f t="shared" si="923"/>
        <v>-1</v>
      </c>
      <c r="F1270" s="6">
        <f>$F$10</f>
        <v>-1</v>
      </c>
      <c r="G1270" s="20" t="str">
        <f t="shared" si="924"/>
        <v>B</v>
      </c>
      <c r="H1270" s="20" t="str">
        <f t="shared" si="925"/>
        <v>B</v>
      </c>
      <c r="I1270" s="8">
        <f t="shared" si="919"/>
        <v>0</v>
      </c>
      <c r="J1270" s="8">
        <f t="shared" si="920"/>
        <v>0</v>
      </c>
      <c r="K1270" s="9">
        <f t="shared" si="921"/>
        <v>0</v>
      </c>
    </row>
    <row r="1271" spans="1:11" x14ac:dyDescent="0.25">
      <c r="A1271" s="5">
        <v>4</v>
      </c>
      <c r="B1271" s="6">
        <f t="shared" ref="B1271:C1271" si="927">B1256</f>
        <v>2</v>
      </c>
      <c r="C1271" s="6">
        <f t="shared" si="927"/>
        <v>3</v>
      </c>
      <c r="D1271" s="8">
        <f>B1271*B1264+C1271*C1264+D1264</f>
        <v>0.14666666666666273</v>
      </c>
      <c r="E1271" s="6">
        <f t="shared" si="923"/>
        <v>1</v>
      </c>
      <c r="F1271" s="6">
        <f>$F$11</f>
        <v>1</v>
      </c>
      <c r="G1271" s="20" t="str">
        <f t="shared" si="924"/>
        <v>A</v>
      </c>
      <c r="H1271" s="20" t="str">
        <f t="shared" si="925"/>
        <v>A</v>
      </c>
      <c r="I1271" s="8">
        <f t="shared" si="919"/>
        <v>0</v>
      </c>
      <c r="J1271" s="8">
        <f t="shared" si="920"/>
        <v>0</v>
      </c>
      <c r="K1271" s="9">
        <f t="shared" si="921"/>
        <v>0</v>
      </c>
    </row>
    <row r="1272" spans="1:11" x14ac:dyDescent="0.25">
      <c r="A1272" s="5">
        <v>5</v>
      </c>
      <c r="B1272" s="6">
        <f t="shared" ref="B1272:C1272" si="928">B1257</f>
        <v>5</v>
      </c>
      <c r="C1272" s="6">
        <f t="shared" si="928"/>
        <v>3</v>
      </c>
      <c r="D1272" s="8">
        <f>B1272*B1264+C1272*C1264+D1264</f>
        <v>0.54666666666666131</v>
      </c>
      <c r="E1272" s="6">
        <f t="shared" si="923"/>
        <v>1</v>
      </c>
      <c r="F1272" s="6">
        <f>$F$12</f>
        <v>1</v>
      </c>
      <c r="G1272" s="20" t="str">
        <f t="shared" si="924"/>
        <v>A</v>
      </c>
      <c r="H1272" s="20" t="str">
        <f t="shared" si="925"/>
        <v>A</v>
      </c>
      <c r="I1272" s="8">
        <f t="shared" si="919"/>
        <v>0</v>
      </c>
      <c r="J1272" s="8">
        <f t="shared" si="920"/>
        <v>0</v>
      </c>
      <c r="K1272" s="9">
        <f t="shared" si="921"/>
        <v>0</v>
      </c>
    </row>
    <row r="1273" spans="1:11" x14ac:dyDescent="0.25">
      <c r="A1273" s="5">
        <v>6</v>
      </c>
      <c r="B1273" s="6">
        <f t="shared" ref="B1273:C1273" si="929">B1258</f>
        <v>3</v>
      </c>
      <c r="C1273" s="6">
        <f t="shared" si="929"/>
        <v>2</v>
      </c>
      <c r="D1273" s="8">
        <f>B1273*B1264+C1273*C1264+D1264</f>
        <v>-1.333333333333675E-2</v>
      </c>
      <c r="E1273" s="6">
        <f t="shared" si="923"/>
        <v>-1</v>
      </c>
      <c r="F1273" s="6">
        <f>$F$13</f>
        <v>-1</v>
      </c>
      <c r="G1273" s="20" t="str">
        <f t="shared" si="924"/>
        <v>B</v>
      </c>
      <c r="H1273" s="20" t="str">
        <f t="shared" si="925"/>
        <v>B</v>
      </c>
      <c r="I1273" s="8">
        <f t="shared" si="919"/>
        <v>0</v>
      </c>
      <c r="J1273" s="8">
        <f t="shared" si="920"/>
        <v>0</v>
      </c>
      <c r="K1273" s="9">
        <f t="shared" si="921"/>
        <v>0</v>
      </c>
    </row>
    <row r="1274" spans="1:11" x14ac:dyDescent="0.25">
      <c r="A1274" s="5"/>
      <c r="B1274" s="6"/>
      <c r="C1274" s="6"/>
      <c r="D1274" s="6"/>
      <c r="E1274" s="6"/>
      <c r="F1274" s="6"/>
      <c r="G1274" s="20" t="s">
        <v>8</v>
      </c>
      <c r="H1274" s="20"/>
      <c r="I1274" s="8">
        <f>SUM(I1268:I1273)</f>
        <v>0</v>
      </c>
      <c r="J1274" s="8">
        <f>AVERAGE(J1268:J1273)</f>
        <v>0</v>
      </c>
      <c r="K1274" s="9">
        <f>AVERAGE(K1268:K1273)</f>
        <v>0</v>
      </c>
    </row>
    <row r="1275" spans="1:11" x14ac:dyDescent="0.25">
      <c r="A1275" s="5"/>
      <c r="B1275" s="6"/>
      <c r="C1275" s="6"/>
      <c r="D1275" s="6"/>
      <c r="E1275" s="6"/>
      <c r="F1275" s="6"/>
      <c r="G1275" s="20" t="s">
        <v>9</v>
      </c>
      <c r="H1275" s="20"/>
      <c r="I1275" s="8">
        <f>SUMSQ(I1268:I1273)</f>
        <v>0</v>
      </c>
      <c r="J1275" s="10"/>
      <c r="K1275" s="15"/>
    </row>
    <row r="1276" spans="1:11" x14ac:dyDescent="0.25">
      <c r="A1276" s="11"/>
      <c r="B1276" s="12"/>
      <c r="C1276" s="12"/>
      <c r="D1276" s="12"/>
      <c r="E1276" s="12"/>
      <c r="F1276" s="12"/>
      <c r="G1276" s="21"/>
      <c r="H1276" s="21"/>
      <c r="I1276" s="18"/>
      <c r="J1276" s="13"/>
      <c r="K1276" s="16"/>
    </row>
    <row r="1277" spans="1:11" x14ac:dyDescent="0.25">
      <c r="A1277" s="2" t="s">
        <v>13</v>
      </c>
      <c r="B1277" s="3">
        <f>B1262+1</f>
        <v>86</v>
      </c>
      <c r="C1277" s="3"/>
      <c r="D1277" s="3"/>
      <c r="E1277" s="3"/>
      <c r="F1277" s="3"/>
      <c r="G1277" s="19"/>
      <c r="H1277" s="19"/>
      <c r="I1277" s="17"/>
      <c r="J1277" s="3"/>
      <c r="K1277" s="4"/>
    </row>
    <row r="1278" spans="1:11" x14ac:dyDescent="0.25">
      <c r="A1278" s="5"/>
      <c r="B1278" s="6" t="s">
        <v>4</v>
      </c>
      <c r="C1278" s="6" t="s">
        <v>5</v>
      </c>
      <c r="D1278" s="6" t="s">
        <v>6</v>
      </c>
      <c r="E1278" s="6"/>
      <c r="F1278" s="6"/>
      <c r="G1278" s="20"/>
      <c r="H1278" s="20"/>
      <c r="I1278" s="8"/>
      <c r="J1278" s="6"/>
      <c r="K1278" s="7"/>
    </row>
    <row r="1279" spans="1:11" x14ac:dyDescent="0.25">
      <c r="A1279" s="5">
        <v>1</v>
      </c>
      <c r="B1279" s="14">
        <f>B1264+J1274</f>
        <v>0.13333333333333286</v>
      </c>
      <c r="C1279" s="14">
        <f>C1264+K1274</f>
        <v>0.29333333333333234</v>
      </c>
      <c r="D1279" s="6">
        <f>D1264</f>
        <v>-1</v>
      </c>
      <c r="E1279" s="6"/>
      <c r="F1279" s="6"/>
      <c r="G1279" s="20"/>
      <c r="H1279" s="20"/>
      <c r="I1279" s="8"/>
      <c r="J1279" s="6"/>
      <c r="K1279" s="7"/>
    </row>
    <row r="1280" spans="1:11" x14ac:dyDescent="0.25">
      <c r="A1280" s="5"/>
      <c r="B1280" s="6"/>
      <c r="C1280" s="6"/>
      <c r="D1280" s="6"/>
      <c r="E1280" s="6"/>
      <c r="F1280" s="6"/>
      <c r="G1280" s="20"/>
      <c r="H1280" s="20"/>
      <c r="I1280" s="8"/>
      <c r="J1280" s="6"/>
      <c r="K1280" s="7"/>
    </row>
    <row r="1281" spans="1:11" x14ac:dyDescent="0.25">
      <c r="A1281" s="5"/>
      <c r="B1281" s="6"/>
      <c r="C1281" s="6"/>
      <c r="D1281" s="6"/>
      <c r="E1281" s="6"/>
      <c r="F1281" s="6"/>
      <c r="G1281" s="20"/>
      <c r="H1281" s="20"/>
      <c r="I1281" s="8"/>
      <c r="J1281" s="6"/>
      <c r="K1281" s="7"/>
    </row>
    <row r="1282" spans="1:11" x14ac:dyDescent="0.25">
      <c r="A1282" s="5" t="s">
        <v>10</v>
      </c>
      <c r="B1282" s="6" t="s">
        <v>2</v>
      </c>
      <c r="C1282" s="6" t="s">
        <v>3</v>
      </c>
      <c r="D1282" s="6" t="s">
        <v>0</v>
      </c>
      <c r="E1282" s="6" t="s">
        <v>15</v>
      </c>
      <c r="F1282" s="6" t="s">
        <v>1</v>
      </c>
      <c r="G1282" s="20" t="s">
        <v>17</v>
      </c>
      <c r="H1282" s="20" t="s">
        <v>16</v>
      </c>
      <c r="I1282" s="8" t="s">
        <v>7</v>
      </c>
      <c r="J1282" s="6" t="s">
        <v>11</v>
      </c>
      <c r="K1282" s="7" t="s">
        <v>12</v>
      </c>
    </row>
    <row r="1283" spans="1:11" x14ac:dyDescent="0.25">
      <c r="A1283" s="5">
        <v>1</v>
      </c>
      <c r="B1283" s="6">
        <f>B1268</f>
        <v>4</v>
      </c>
      <c r="C1283" s="6">
        <f>C1268</f>
        <v>3</v>
      </c>
      <c r="D1283" s="8">
        <f>B1283*B1279+C1283*C1279+D1279</f>
        <v>0.41333333333332845</v>
      </c>
      <c r="E1283" s="6">
        <f>IF(D1283&gt;=0,$F$1,$E$1)</f>
        <v>1</v>
      </c>
      <c r="F1283" s="6">
        <f>$F$8</f>
        <v>1</v>
      </c>
      <c r="G1283" s="20" t="str">
        <f>IF(E1283&gt;0,"A","B")</f>
        <v>A</v>
      </c>
      <c r="H1283" s="20" t="str">
        <f>IF(F1283&gt;0,"A","B")</f>
        <v>A</v>
      </c>
      <c r="I1283" s="8">
        <f t="shared" ref="I1283:I1288" si="930">F1283-E1283</f>
        <v>0</v>
      </c>
      <c r="J1283" s="8">
        <f t="shared" ref="J1283:J1288" si="931">$C$1*I1283*B1283</f>
        <v>0</v>
      </c>
      <c r="K1283" s="9">
        <f t="shared" ref="K1283:K1288" si="932">$C$1*I1283*C1283</f>
        <v>0</v>
      </c>
    </row>
    <row r="1284" spans="1:11" x14ac:dyDescent="0.25">
      <c r="A1284" s="5">
        <v>2</v>
      </c>
      <c r="B1284" s="6">
        <f t="shared" ref="B1284:C1284" si="933">B1269</f>
        <v>1</v>
      </c>
      <c r="C1284" s="6">
        <f t="shared" si="933"/>
        <v>1</v>
      </c>
      <c r="D1284" s="8">
        <f>B1284*B1279+C1284*C1279+D1279</f>
        <v>-0.5733333333333348</v>
      </c>
      <c r="E1284" s="6">
        <f t="shared" ref="E1284:E1288" si="934">IF(D1284&gt;=0,$F$1,$E$1)</f>
        <v>-1</v>
      </c>
      <c r="F1284" s="6">
        <f>$F$9</f>
        <v>-1</v>
      </c>
      <c r="G1284" s="20" t="str">
        <f t="shared" ref="G1284:G1288" si="935">IF(E1284&gt;0,"A","B")</f>
        <v>B</v>
      </c>
      <c r="H1284" s="20" t="str">
        <f t="shared" ref="H1284:H1288" si="936">IF(F1284&gt;0,"A","B")</f>
        <v>B</v>
      </c>
      <c r="I1284" s="8">
        <f t="shared" si="930"/>
        <v>0</v>
      </c>
      <c r="J1284" s="8">
        <f t="shared" si="931"/>
        <v>0</v>
      </c>
      <c r="K1284" s="9">
        <f t="shared" si="932"/>
        <v>0</v>
      </c>
    </row>
    <row r="1285" spans="1:11" x14ac:dyDescent="0.25">
      <c r="A1285" s="5">
        <v>3</v>
      </c>
      <c r="B1285" s="6">
        <f t="shared" ref="B1285:C1285" si="937">B1270</f>
        <v>2</v>
      </c>
      <c r="C1285" s="6">
        <f t="shared" si="937"/>
        <v>2</v>
      </c>
      <c r="D1285" s="8">
        <f>B1285*B1279+C1285*C1279+D1279</f>
        <v>-0.14666666666666961</v>
      </c>
      <c r="E1285" s="6">
        <f t="shared" si="934"/>
        <v>-1</v>
      </c>
      <c r="F1285" s="6">
        <f>$F$10</f>
        <v>-1</v>
      </c>
      <c r="G1285" s="20" t="str">
        <f t="shared" si="935"/>
        <v>B</v>
      </c>
      <c r="H1285" s="20" t="str">
        <f t="shared" si="936"/>
        <v>B</v>
      </c>
      <c r="I1285" s="8">
        <f t="shared" si="930"/>
        <v>0</v>
      </c>
      <c r="J1285" s="8">
        <f t="shared" si="931"/>
        <v>0</v>
      </c>
      <c r="K1285" s="9">
        <f t="shared" si="932"/>
        <v>0</v>
      </c>
    </row>
    <row r="1286" spans="1:11" x14ac:dyDescent="0.25">
      <c r="A1286" s="5">
        <v>4</v>
      </c>
      <c r="B1286" s="6">
        <f t="shared" ref="B1286:C1286" si="938">B1271</f>
        <v>2</v>
      </c>
      <c r="C1286" s="6">
        <f t="shared" si="938"/>
        <v>3</v>
      </c>
      <c r="D1286" s="8">
        <f>B1286*B1279+C1286*C1279+D1279</f>
        <v>0.14666666666666273</v>
      </c>
      <c r="E1286" s="6">
        <f t="shared" si="934"/>
        <v>1</v>
      </c>
      <c r="F1286" s="6">
        <f>$F$11</f>
        <v>1</v>
      </c>
      <c r="G1286" s="20" t="str">
        <f t="shared" si="935"/>
        <v>A</v>
      </c>
      <c r="H1286" s="20" t="str">
        <f t="shared" si="936"/>
        <v>A</v>
      </c>
      <c r="I1286" s="8">
        <f t="shared" si="930"/>
        <v>0</v>
      </c>
      <c r="J1286" s="8">
        <f t="shared" si="931"/>
        <v>0</v>
      </c>
      <c r="K1286" s="9">
        <f t="shared" si="932"/>
        <v>0</v>
      </c>
    </row>
    <row r="1287" spans="1:11" x14ac:dyDescent="0.25">
      <c r="A1287" s="5">
        <v>5</v>
      </c>
      <c r="B1287" s="6">
        <f t="shared" ref="B1287:C1287" si="939">B1272</f>
        <v>5</v>
      </c>
      <c r="C1287" s="6">
        <f t="shared" si="939"/>
        <v>3</v>
      </c>
      <c r="D1287" s="8">
        <f>B1287*B1279+C1287*C1279+D1279</f>
        <v>0.54666666666666131</v>
      </c>
      <c r="E1287" s="6">
        <f t="shared" si="934"/>
        <v>1</v>
      </c>
      <c r="F1287" s="6">
        <f>$F$12</f>
        <v>1</v>
      </c>
      <c r="G1287" s="20" t="str">
        <f t="shared" si="935"/>
        <v>A</v>
      </c>
      <c r="H1287" s="20" t="str">
        <f t="shared" si="936"/>
        <v>A</v>
      </c>
      <c r="I1287" s="8">
        <f t="shared" si="930"/>
        <v>0</v>
      </c>
      <c r="J1287" s="8">
        <f t="shared" si="931"/>
        <v>0</v>
      </c>
      <c r="K1287" s="9">
        <f t="shared" si="932"/>
        <v>0</v>
      </c>
    </row>
    <row r="1288" spans="1:11" x14ac:dyDescent="0.25">
      <c r="A1288" s="5">
        <v>6</v>
      </c>
      <c r="B1288" s="6">
        <f t="shared" ref="B1288:C1288" si="940">B1273</f>
        <v>3</v>
      </c>
      <c r="C1288" s="6">
        <f t="shared" si="940"/>
        <v>2</v>
      </c>
      <c r="D1288" s="8">
        <f>B1288*B1279+C1288*C1279+D1279</f>
        <v>-1.333333333333675E-2</v>
      </c>
      <c r="E1288" s="6">
        <f t="shared" si="934"/>
        <v>-1</v>
      </c>
      <c r="F1288" s="6">
        <f>$F$13</f>
        <v>-1</v>
      </c>
      <c r="G1288" s="20" t="str">
        <f t="shared" si="935"/>
        <v>B</v>
      </c>
      <c r="H1288" s="20" t="str">
        <f t="shared" si="936"/>
        <v>B</v>
      </c>
      <c r="I1288" s="8">
        <f t="shared" si="930"/>
        <v>0</v>
      </c>
      <c r="J1288" s="8">
        <f t="shared" si="931"/>
        <v>0</v>
      </c>
      <c r="K1288" s="9">
        <f t="shared" si="932"/>
        <v>0</v>
      </c>
    </row>
    <row r="1289" spans="1:11" x14ac:dyDescent="0.25">
      <c r="A1289" s="5"/>
      <c r="B1289" s="6"/>
      <c r="C1289" s="6"/>
      <c r="D1289" s="6"/>
      <c r="E1289" s="6"/>
      <c r="F1289" s="6"/>
      <c r="G1289" s="20" t="s">
        <v>8</v>
      </c>
      <c r="H1289" s="20"/>
      <c r="I1289" s="8">
        <f>SUM(I1283:I1288)</f>
        <v>0</v>
      </c>
      <c r="J1289" s="8">
        <f>AVERAGE(J1283:J1288)</f>
        <v>0</v>
      </c>
      <c r="K1289" s="9">
        <f>AVERAGE(K1283:K1288)</f>
        <v>0</v>
      </c>
    </row>
    <row r="1290" spans="1:11" x14ac:dyDescent="0.25">
      <c r="A1290" s="5"/>
      <c r="B1290" s="6"/>
      <c r="C1290" s="6"/>
      <c r="D1290" s="6"/>
      <c r="E1290" s="6"/>
      <c r="F1290" s="6"/>
      <c r="G1290" s="20" t="s">
        <v>9</v>
      </c>
      <c r="H1290" s="20"/>
      <c r="I1290" s="8">
        <f>SUMSQ(I1283:I1288)</f>
        <v>0</v>
      </c>
      <c r="J1290" s="10"/>
      <c r="K1290" s="15"/>
    </row>
    <row r="1291" spans="1:11" x14ac:dyDescent="0.25">
      <c r="A1291" s="11"/>
      <c r="B1291" s="12"/>
      <c r="C1291" s="12"/>
      <c r="D1291" s="12"/>
      <c r="E1291" s="12"/>
      <c r="F1291" s="12"/>
      <c r="G1291" s="21"/>
      <c r="H1291" s="21"/>
      <c r="I1291" s="18"/>
      <c r="J1291" s="13"/>
      <c r="K1291" s="16"/>
    </row>
    <row r="1292" spans="1:11" x14ac:dyDescent="0.25">
      <c r="A1292" s="2" t="s">
        <v>13</v>
      </c>
      <c r="B1292" s="3">
        <f>B1277+1</f>
        <v>87</v>
      </c>
      <c r="C1292" s="3"/>
      <c r="D1292" s="3"/>
      <c r="E1292" s="3"/>
      <c r="F1292" s="3"/>
      <c r="G1292" s="19"/>
      <c r="H1292" s="19"/>
      <c r="I1292" s="17"/>
      <c r="J1292" s="3"/>
      <c r="K1292" s="4"/>
    </row>
    <row r="1293" spans="1:11" x14ac:dyDescent="0.25">
      <c r="A1293" s="5"/>
      <c r="B1293" s="6" t="s">
        <v>4</v>
      </c>
      <c r="C1293" s="6" t="s">
        <v>5</v>
      </c>
      <c r="D1293" s="6" t="s">
        <v>6</v>
      </c>
      <c r="E1293" s="6"/>
      <c r="F1293" s="6"/>
      <c r="G1293" s="20"/>
      <c r="H1293" s="20"/>
      <c r="I1293" s="8"/>
      <c r="J1293" s="6"/>
      <c r="K1293" s="7"/>
    </row>
    <row r="1294" spans="1:11" x14ac:dyDescent="0.25">
      <c r="A1294" s="5">
        <v>1</v>
      </c>
      <c r="B1294" s="14">
        <f>B1279+J1289</f>
        <v>0.13333333333333286</v>
      </c>
      <c r="C1294" s="14">
        <f>C1279+K1289</f>
        <v>0.29333333333333234</v>
      </c>
      <c r="D1294" s="6">
        <f>D1279</f>
        <v>-1</v>
      </c>
      <c r="E1294" s="6"/>
      <c r="F1294" s="6"/>
      <c r="G1294" s="20"/>
      <c r="H1294" s="20"/>
      <c r="I1294" s="8"/>
      <c r="J1294" s="6"/>
      <c r="K1294" s="7"/>
    </row>
    <row r="1295" spans="1:11" x14ac:dyDescent="0.25">
      <c r="A1295" s="5"/>
      <c r="B1295" s="6"/>
      <c r="C1295" s="6"/>
      <c r="D1295" s="6"/>
      <c r="E1295" s="6"/>
      <c r="F1295" s="6"/>
      <c r="G1295" s="20"/>
      <c r="H1295" s="20"/>
      <c r="I1295" s="8"/>
      <c r="J1295" s="6"/>
      <c r="K1295" s="7"/>
    </row>
    <row r="1296" spans="1:11" x14ac:dyDescent="0.25">
      <c r="A1296" s="5"/>
      <c r="B1296" s="6"/>
      <c r="C1296" s="6"/>
      <c r="D1296" s="6"/>
      <c r="E1296" s="6"/>
      <c r="F1296" s="6"/>
      <c r="G1296" s="20"/>
      <c r="H1296" s="20"/>
      <c r="I1296" s="8"/>
      <c r="J1296" s="6"/>
      <c r="K1296" s="7"/>
    </row>
    <row r="1297" spans="1:11" x14ac:dyDescent="0.25">
      <c r="A1297" s="5" t="s">
        <v>10</v>
      </c>
      <c r="B1297" s="6" t="s">
        <v>2</v>
      </c>
      <c r="C1297" s="6" t="s">
        <v>3</v>
      </c>
      <c r="D1297" s="6" t="s">
        <v>0</v>
      </c>
      <c r="E1297" s="6" t="s">
        <v>15</v>
      </c>
      <c r="F1297" s="6" t="s">
        <v>1</v>
      </c>
      <c r="G1297" s="20" t="s">
        <v>17</v>
      </c>
      <c r="H1297" s="20" t="s">
        <v>16</v>
      </c>
      <c r="I1297" s="8" t="s">
        <v>7</v>
      </c>
      <c r="J1297" s="6" t="s">
        <v>11</v>
      </c>
      <c r="K1297" s="7" t="s">
        <v>12</v>
      </c>
    </row>
    <row r="1298" spans="1:11" x14ac:dyDescent="0.25">
      <c r="A1298" s="5">
        <v>1</v>
      </c>
      <c r="B1298" s="6">
        <f>B1283</f>
        <v>4</v>
      </c>
      <c r="C1298" s="6">
        <f>C1283</f>
        <v>3</v>
      </c>
      <c r="D1298" s="8">
        <f>B1298*B1294+C1298*C1294+D1294</f>
        <v>0.41333333333332845</v>
      </c>
      <c r="E1298" s="6">
        <f>IF(D1298&gt;=0,$F$1,$E$1)</f>
        <v>1</v>
      </c>
      <c r="F1298" s="6">
        <f>$F$8</f>
        <v>1</v>
      </c>
      <c r="G1298" s="20" t="str">
        <f>IF(E1298&gt;0,"A","B")</f>
        <v>A</v>
      </c>
      <c r="H1298" s="20" t="str">
        <f>IF(F1298&gt;0,"A","B")</f>
        <v>A</v>
      </c>
      <c r="I1298" s="8">
        <f t="shared" ref="I1298:I1303" si="941">F1298-E1298</f>
        <v>0</v>
      </c>
      <c r="J1298" s="8">
        <f t="shared" ref="J1298:J1303" si="942">$C$1*I1298*B1298</f>
        <v>0</v>
      </c>
      <c r="K1298" s="9">
        <f t="shared" ref="K1298:K1303" si="943">$C$1*I1298*C1298</f>
        <v>0</v>
      </c>
    </row>
    <row r="1299" spans="1:11" x14ac:dyDescent="0.25">
      <c r="A1299" s="5">
        <v>2</v>
      </c>
      <c r="B1299" s="6">
        <f t="shared" ref="B1299:C1299" si="944">B1284</f>
        <v>1</v>
      </c>
      <c r="C1299" s="6">
        <f t="shared" si="944"/>
        <v>1</v>
      </c>
      <c r="D1299" s="8">
        <f>B1299*B1294+C1299*C1294+D1294</f>
        <v>-0.5733333333333348</v>
      </c>
      <c r="E1299" s="6">
        <f t="shared" ref="E1299:E1303" si="945">IF(D1299&gt;=0,$F$1,$E$1)</f>
        <v>-1</v>
      </c>
      <c r="F1299" s="6">
        <f>$F$9</f>
        <v>-1</v>
      </c>
      <c r="G1299" s="20" t="str">
        <f t="shared" ref="G1299:G1303" si="946">IF(E1299&gt;0,"A","B")</f>
        <v>B</v>
      </c>
      <c r="H1299" s="20" t="str">
        <f t="shared" ref="H1299:H1303" si="947">IF(F1299&gt;0,"A","B")</f>
        <v>B</v>
      </c>
      <c r="I1299" s="8">
        <f t="shared" si="941"/>
        <v>0</v>
      </c>
      <c r="J1299" s="8">
        <f t="shared" si="942"/>
        <v>0</v>
      </c>
      <c r="K1299" s="9">
        <f t="shared" si="943"/>
        <v>0</v>
      </c>
    </row>
    <row r="1300" spans="1:11" x14ac:dyDescent="0.25">
      <c r="A1300" s="5">
        <v>3</v>
      </c>
      <c r="B1300" s="6">
        <f t="shared" ref="B1300:C1300" si="948">B1285</f>
        <v>2</v>
      </c>
      <c r="C1300" s="6">
        <f t="shared" si="948"/>
        <v>2</v>
      </c>
      <c r="D1300" s="8">
        <f>B1300*B1294+C1300*C1294+D1294</f>
        <v>-0.14666666666666961</v>
      </c>
      <c r="E1300" s="6">
        <f t="shared" si="945"/>
        <v>-1</v>
      </c>
      <c r="F1300" s="6">
        <f>$F$10</f>
        <v>-1</v>
      </c>
      <c r="G1300" s="20" t="str">
        <f t="shared" si="946"/>
        <v>B</v>
      </c>
      <c r="H1300" s="20" t="str">
        <f t="shared" si="947"/>
        <v>B</v>
      </c>
      <c r="I1300" s="8">
        <f t="shared" si="941"/>
        <v>0</v>
      </c>
      <c r="J1300" s="8">
        <f t="shared" si="942"/>
        <v>0</v>
      </c>
      <c r="K1300" s="9">
        <f t="shared" si="943"/>
        <v>0</v>
      </c>
    </row>
    <row r="1301" spans="1:11" x14ac:dyDescent="0.25">
      <c r="A1301" s="5">
        <v>4</v>
      </c>
      <c r="B1301" s="6">
        <f t="shared" ref="B1301:C1301" si="949">B1286</f>
        <v>2</v>
      </c>
      <c r="C1301" s="6">
        <f t="shared" si="949"/>
        <v>3</v>
      </c>
      <c r="D1301" s="8">
        <f>B1301*B1294+C1301*C1294+D1294</f>
        <v>0.14666666666666273</v>
      </c>
      <c r="E1301" s="6">
        <f t="shared" si="945"/>
        <v>1</v>
      </c>
      <c r="F1301" s="6">
        <f>$F$11</f>
        <v>1</v>
      </c>
      <c r="G1301" s="20" t="str">
        <f t="shared" si="946"/>
        <v>A</v>
      </c>
      <c r="H1301" s="20" t="str">
        <f t="shared" si="947"/>
        <v>A</v>
      </c>
      <c r="I1301" s="8">
        <f t="shared" si="941"/>
        <v>0</v>
      </c>
      <c r="J1301" s="8">
        <f t="shared" si="942"/>
        <v>0</v>
      </c>
      <c r="K1301" s="9">
        <f t="shared" si="943"/>
        <v>0</v>
      </c>
    </row>
    <row r="1302" spans="1:11" x14ac:dyDescent="0.25">
      <c r="A1302" s="5">
        <v>5</v>
      </c>
      <c r="B1302" s="6">
        <f t="shared" ref="B1302:C1302" si="950">B1287</f>
        <v>5</v>
      </c>
      <c r="C1302" s="6">
        <f t="shared" si="950"/>
        <v>3</v>
      </c>
      <c r="D1302" s="8">
        <f>B1302*B1294+C1302*C1294+D1294</f>
        <v>0.54666666666666131</v>
      </c>
      <c r="E1302" s="6">
        <f t="shared" si="945"/>
        <v>1</v>
      </c>
      <c r="F1302" s="6">
        <f>$F$12</f>
        <v>1</v>
      </c>
      <c r="G1302" s="20" t="str">
        <f t="shared" si="946"/>
        <v>A</v>
      </c>
      <c r="H1302" s="20" t="str">
        <f t="shared" si="947"/>
        <v>A</v>
      </c>
      <c r="I1302" s="8">
        <f t="shared" si="941"/>
        <v>0</v>
      </c>
      <c r="J1302" s="8">
        <f t="shared" si="942"/>
        <v>0</v>
      </c>
      <c r="K1302" s="9">
        <f t="shared" si="943"/>
        <v>0</v>
      </c>
    </row>
    <row r="1303" spans="1:11" x14ac:dyDescent="0.25">
      <c r="A1303" s="5">
        <v>6</v>
      </c>
      <c r="B1303" s="6">
        <f t="shared" ref="B1303:C1303" si="951">B1288</f>
        <v>3</v>
      </c>
      <c r="C1303" s="6">
        <f t="shared" si="951"/>
        <v>2</v>
      </c>
      <c r="D1303" s="8">
        <f>B1303*B1294+C1303*C1294+D1294</f>
        <v>-1.333333333333675E-2</v>
      </c>
      <c r="E1303" s="6">
        <f t="shared" si="945"/>
        <v>-1</v>
      </c>
      <c r="F1303" s="6">
        <f>$F$13</f>
        <v>-1</v>
      </c>
      <c r="G1303" s="20" t="str">
        <f t="shared" si="946"/>
        <v>B</v>
      </c>
      <c r="H1303" s="20" t="str">
        <f t="shared" si="947"/>
        <v>B</v>
      </c>
      <c r="I1303" s="8">
        <f t="shared" si="941"/>
        <v>0</v>
      </c>
      <c r="J1303" s="8">
        <f t="shared" si="942"/>
        <v>0</v>
      </c>
      <c r="K1303" s="9">
        <f t="shared" si="943"/>
        <v>0</v>
      </c>
    </row>
    <row r="1304" spans="1:11" x14ac:dyDescent="0.25">
      <c r="A1304" s="5"/>
      <c r="B1304" s="6"/>
      <c r="C1304" s="6"/>
      <c r="D1304" s="6"/>
      <c r="E1304" s="6"/>
      <c r="F1304" s="6"/>
      <c r="G1304" s="20" t="s">
        <v>8</v>
      </c>
      <c r="H1304" s="20"/>
      <c r="I1304" s="8">
        <f>SUM(I1298:I1303)</f>
        <v>0</v>
      </c>
      <c r="J1304" s="8">
        <f>AVERAGE(J1298:J1303)</f>
        <v>0</v>
      </c>
      <c r="K1304" s="9">
        <f>AVERAGE(K1298:K1303)</f>
        <v>0</v>
      </c>
    </row>
    <row r="1305" spans="1:11" x14ac:dyDescent="0.25">
      <c r="A1305" s="5"/>
      <c r="B1305" s="6"/>
      <c r="C1305" s="6"/>
      <c r="D1305" s="6"/>
      <c r="E1305" s="6"/>
      <c r="F1305" s="6"/>
      <c r="G1305" s="20" t="s">
        <v>9</v>
      </c>
      <c r="H1305" s="20"/>
      <c r="I1305" s="8">
        <f>SUMSQ(I1298:I1303)</f>
        <v>0</v>
      </c>
      <c r="J1305" s="10"/>
      <c r="K1305" s="15"/>
    </row>
    <row r="1306" spans="1:11" x14ac:dyDescent="0.25">
      <c r="A1306" s="11"/>
      <c r="B1306" s="12"/>
      <c r="C1306" s="12"/>
      <c r="D1306" s="12"/>
      <c r="E1306" s="12"/>
      <c r="F1306" s="12"/>
      <c r="G1306" s="21"/>
      <c r="H1306" s="21"/>
      <c r="I1306" s="18"/>
      <c r="J1306" s="13"/>
      <c r="K1306" s="16"/>
    </row>
    <row r="1307" spans="1:11" x14ac:dyDescent="0.25">
      <c r="A1307" s="2" t="s">
        <v>13</v>
      </c>
      <c r="B1307" s="3">
        <f>B1292+1</f>
        <v>88</v>
      </c>
      <c r="C1307" s="3"/>
      <c r="D1307" s="3"/>
      <c r="E1307" s="3"/>
      <c r="F1307" s="3"/>
      <c r="G1307" s="19"/>
      <c r="H1307" s="19"/>
      <c r="I1307" s="17"/>
      <c r="J1307" s="3"/>
      <c r="K1307" s="4"/>
    </row>
    <row r="1308" spans="1:11" x14ac:dyDescent="0.25">
      <c r="A1308" s="5"/>
      <c r="B1308" s="6" t="s">
        <v>4</v>
      </c>
      <c r="C1308" s="6" t="s">
        <v>5</v>
      </c>
      <c r="D1308" s="6" t="s">
        <v>6</v>
      </c>
      <c r="E1308" s="6"/>
      <c r="F1308" s="6"/>
      <c r="G1308" s="20"/>
      <c r="H1308" s="20"/>
      <c r="I1308" s="8"/>
      <c r="J1308" s="6"/>
      <c r="K1308" s="7"/>
    </row>
    <row r="1309" spans="1:11" x14ac:dyDescent="0.25">
      <c r="A1309" s="5">
        <v>1</v>
      </c>
      <c r="B1309" s="14">
        <f>B1294+J1304</f>
        <v>0.13333333333333286</v>
      </c>
      <c r="C1309" s="14">
        <f>C1294+K1304</f>
        <v>0.29333333333333234</v>
      </c>
      <c r="D1309" s="6">
        <f>D1294</f>
        <v>-1</v>
      </c>
      <c r="E1309" s="6"/>
      <c r="F1309" s="6"/>
      <c r="G1309" s="20"/>
      <c r="H1309" s="20"/>
      <c r="I1309" s="8"/>
      <c r="J1309" s="6"/>
      <c r="K1309" s="7"/>
    </row>
    <row r="1310" spans="1:11" x14ac:dyDescent="0.25">
      <c r="A1310" s="5"/>
      <c r="B1310" s="6"/>
      <c r="C1310" s="6"/>
      <c r="D1310" s="6"/>
      <c r="E1310" s="6"/>
      <c r="F1310" s="6"/>
      <c r="G1310" s="20"/>
      <c r="H1310" s="20"/>
      <c r="I1310" s="8"/>
      <c r="J1310" s="6"/>
      <c r="K1310" s="7"/>
    </row>
    <row r="1311" spans="1:11" x14ac:dyDescent="0.25">
      <c r="A1311" s="5"/>
      <c r="B1311" s="6"/>
      <c r="C1311" s="6"/>
      <c r="D1311" s="6"/>
      <c r="E1311" s="6"/>
      <c r="F1311" s="6"/>
      <c r="G1311" s="20"/>
      <c r="H1311" s="20"/>
      <c r="I1311" s="8"/>
      <c r="J1311" s="6"/>
      <c r="K1311" s="7"/>
    </row>
    <row r="1312" spans="1:11" x14ac:dyDescent="0.25">
      <c r="A1312" s="5" t="s">
        <v>10</v>
      </c>
      <c r="B1312" s="6" t="s">
        <v>2</v>
      </c>
      <c r="C1312" s="6" t="s">
        <v>3</v>
      </c>
      <c r="D1312" s="6" t="s">
        <v>0</v>
      </c>
      <c r="E1312" s="6" t="s">
        <v>15</v>
      </c>
      <c r="F1312" s="6" t="s">
        <v>1</v>
      </c>
      <c r="G1312" s="20" t="s">
        <v>17</v>
      </c>
      <c r="H1312" s="20" t="s">
        <v>16</v>
      </c>
      <c r="I1312" s="8" t="s">
        <v>7</v>
      </c>
      <c r="J1312" s="6" t="s">
        <v>11</v>
      </c>
      <c r="K1312" s="7" t="s">
        <v>12</v>
      </c>
    </row>
    <row r="1313" spans="1:11" x14ac:dyDescent="0.25">
      <c r="A1313" s="5">
        <v>1</v>
      </c>
      <c r="B1313" s="6">
        <f>B1298</f>
        <v>4</v>
      </c>
      <c r="C1313" s="6">
        <f>C1298</f>
        <v>3</v>
      </c>
      <c r="D1313" s="8">
        <f>B1313*B1309+C1313*C1309+D1309</f>
        <v>0.41333333333332845</v>
      </c>
      <c r="E1313" s="6">
        <f>IF(D1313&gt;=0,$F$1,$E$1)</f>
        <v>1</v>
      </c>
      <c r="F1313" s="6">
        <f>$F$8</f>
        <v>1</v>
      </c>
      <c r="G1313" s="20" t="str">
        <f>IF(E1313&gt;0,"A","B")</f>
        <v>A</v>
      </c>
      <c r="H1313" s="20" t="str">
        <f>IF(F1313&gt;0,"A","B")</f>
        <v>A</v>
      </c>
      <c r="I1313" s="8">
        <f t="shared" ref="I1313:I1318" si="952">F1313-E1313</f>
        <v>0</v>
      </c>
      <c r="J1313" s="8">
        <f t="shared" ref="J1313:J1318" si="953">$C$1*I1313*B1313</f>
        <v>0</v>
      </c>
      <c r="K1313" s="9">
        <f t="shared" ref="K1313:K1318" si="954">$C$1*I1313*C1313</f>
        <v>0</v>
      </c>
    </row>
    <row r="1314" spans="1:11" x14ac:dyDescent="0.25">
      <c r="A1314" s="5">
        <v>2</v>
      </c>
      <c r="B1314" s="6">
        <f t="shared" ref="B1314:C1314" si="955">B1299</f>
        <v>1</v>
      </c>
      <c r="C1314" s="6">
        <f t="shared" si="955"/>
        <v>1</v>
      </c>
      <c r="D1314" s="8">
        <f>B1314*B1309+C1314*C1309+D1309</f>
        <v>-0.5733333333333348</v>
      </c>
      <c r="E1314" s="6">
        <f t="shared" ref="E1314:E1318" si="956">IF(D1314&gt;=0,$F$1,$E$1)</f>
        <v>-1</v>
      </c>
      <c r="F1314" s="6">
        <f>$F$9</f>
        <v>-1</v>
      </c>
      <c r="G1314" s="20" t="str">
        <f t="shared" ref="G1314:G1318" si="957">IF(E1314&gt;0,"A","B")</f>
        <v>B</v>
      </c>
      <c r="H1314" s="20" t="str">
        <f t="shared" ref="H1314:H1318" si="958">IF(F1314&gt;0,"A","B")</f>
        <v>B</v>
      </c>
      <c r="I1314" s="8">
        <f t="shared" si="952"/>
        <v>0</v>
      </c>
      <c r="J1314" s="8">
        <f t="shared" si="953"/>
        <v>0</v>
      </c>
      <c r="K1314" s="9">
        <f t="shared" si="954"/>
        <v>0</v>
      </c>
    </row>
    <row r="1315" spans="1:11" x14ac:dyDescent="0.25">
      <c r="A1315" s="5">
        <v>3</v>
      </c>
      <c r="B1315" s="6">
        <f t="shared" ref="B1315:C1315" si="959">B1300</f>
        <v>2</v>
      </c>
      <c r="C1315" s="6">
        <f t="shared" si="959"/>
        <v>2</v>
      </c>
      <c r="D1315" s="8">
        <f>B1315*B1309+C1315*C1309+D1309</f>
        <v>-0.14666666666666961</v>
      </c>
      <c r="E1315" s="6">
        <f t="shared" si="956"/>
        <v>-1</v>
      </c>
      <c r="F1315" s="6">
        <f>$F$10</f>
        <v>-1</v>
      </c>
      <c r="G1315" s="20" t="str">
        <f t="shared" si="957"/>
        <v>B</v>
      </c>
      <c r="H1315" s="20" t="str">
        <f t="shared" si="958"/>
        <v>B</v>
      </c>
      <c r="I1315" s="8">
        <f t="shared" si="952"/>
        <v>0</v>
      </c>
      <c r="J1315" s="8">
        <f t="shared" si="953"/>
        <v>0</v>
      </c>
      <c r="K1315" s="9">
        <f t="shared" si="954"/>
        <v>0</v>
      </c>
    </row>
    <row r="1316" spans="1:11" x14ac:dyDescent="0.25">
      <c r="A1316" s="5">
        <v>4</v>
      </c>
      <c r="B1316" s="6">
        <f t="shared" ref="B1316:C1316" si="960">B1301</f>
        <v>2</v>
      </c>
      <c r="C1316" s="6">
        <f t="shared" si="960"/>
        <v>3</v>
      </c>
      <c r="D1316" s="8">
        <f>B1316*B1309+C1316*C1309+D1309</f>
        <v>0.14666666666666273</v>
      </c>
      <c r="E1316" s="6">
        <f t="shared" si="956"/>
        <v>1</v>
      </c>
      <c r="F1316" s="6">
        <f>$F$11</f>
        <v>1</v>
      </c>
      <c r="G1316" s="20" t="str">
        <f t="shared" si="957"/>
        <v>A</v>
      </c>
      <c r="H1316" s="20" t="str">
        <f t="shared" si="958"/>
        <v>A</v>
      </c>
      <c r="I1316" s="8">
        <f t="shared" si="952"/>
        <v>0</v>
      </c>
      <c r="J1316" s="8">
        <f t="shared" si="953"/>
        <v>0</v>
      </c>
      <c r="K1316" s="9">
        <f t="shared" si="954"/>
        <v>0</v>
      </c>
    </row>
    <row r="1317" spans="1:11" x14ac:dyDescent="0.25">
      <c r="A1317" s="5">
        <v>5</v>
      </c>
      <c r="B1317" s="6">
        <f t="shared" ref="B1317:C1317" si="961">B1302</f>
        <v>5</v>
      </c>
      <c r="C1317" s="6">
        <f t="shared" si="961"/>
        <v>3</v>
      </c>
      <c r="D1317" s="8">
        <f>B1317*B1309+C1317*C1309+D1309</f>
        <v>0.54666666666666131</v>
      </c>
      <c r="E1317" s="6">
        <f t="shared" si="956"/>
        <v>1</v>
      </c>
      <c r="F1317" s="6">
        <f>$F$12</f>
        <v>1</v>
      </c>
      <c r="G1317" s="20" t="str">
        <f t="shared" si="957"/>
        <v>A</v>
      </c>
      <c r="H1317" s="20" t="str">
        <f t="shared" si="958"/>
        <v>A</v>
      </c>
      <c r="I1317" s="8">
        <f t="shared" si="952"/>
        <v>0</v>
      </c>
      <c r="J1317" s="8">
        <f t="shared" si="953"/>
        <v>0</v>
      </c>
      <c r="K1317" s="9">
        <f t="shared" si="954"/>
        <v>0</v>
      </c>
    </row>
    <row r="1318" spans="1:11" x14ac:dyDescent="0.25">
      <c r="A1318" s="5">
        <v>6</v>
      </c>
      <c r="B1318" s="6">
        <f t="shared" ref="B1318:C1318" si="962">B1303</f>
        <v>3</v>
      </c>
      <c r="C1318" s="6">
        <f t="shared" si="962"/>
        <v>2</v>
      </c>
      <c r="D1318" s="8">
        <f>B1318*B1309+C1318*C1309+D1309</f>
        <v>-1.333333333333675E-2</v>
      </c>
      <c r="E1318" s="6">
        <f t="shared" si="956"/>
        <v>-1</v>
      </c>
      <c r="F1318" s="6">
        <f>$F$13</f>
        <v>-1</v>
      </c>
      <c r="G1318" s="20" t="str">
        <f t="shared" si="957"/>
        <v>B</v>
      </c>
      <c r="H1318" s="20" t="str">
        <f t="shared" si="958"/>
        <v>B</v>
      </c>
      <c r="I1318" s="8">
        <f t="shared" si="952"/>
        <v>0</v>
      </c>
      <c r="J1318" s="8">
        <f t="shared" si="953"/>
        <v>0</v>
      </c>
      <c r="K1318" s="9">
        <f t="shared" si="954"/>
        <v>0</v>
      </c>
    </row>
    <row r="1319" spans="1:11" x14ac:dyDescent="0.25">
      <c r="A1319" s="5"/>
      <c r="B1319" s="6"/>
      <c r="C1319" s="6"/>
      <c r="D1319" s="6"/>
      <c r="E1319" s="6"/>
      <c r="F1319" s="6"/>
      <c r="G1319" s="20" t="s">
        <v>8</v>
      </c>
      <c r="H1319" s="20"/>
      <c r="I1319" s="8">
        <f>SUM(I1313:I1318)</f>
        <v>0</v>
      </c>
      <c r="J1319" s="8">
        <f>AVERAGE(J1313:J1318)</f>
        <v>0</v>
      </c>
      <c r="K1319" s="9">
        <f>AVERAGE(K1313:K1318)</f>
        <v>0</v>
      </c>
    </row>
    <row r="1320" spans="1:11" x14ac:dyDescent="0.25">
      <c r="A1320" s="5"/>
      <c r="B1320" s="6"/>
      <c r="C1320" s="6"/>
      <c r="D1320" s="6"/>
      <c r="E1320" s="6"/>
      <c r="F1320" s="6"/>
      <c r="G1320" s="20" t="s">
        <v>9</v>
      </c>
      <c r="H1320" s="20"/>
      <c r="I1320" s="8">
        <f>SUMSQ(I1313:I1318)</f>
        <v>0</v>
      </c>
      <c r="J1320" s="10"/>
      <c r="K1320" s="15"/>
    </row>
    <row r="1321" spans="1:11" x14ac:dyDescent="0.25">
      <c r="A1321" s="11"/>
      <c r="B1321" s="12"/>
      <c r="C1321" s="12"/>
      <c r="D1321" s="12"/>
      <c r="E1321" s="12"/>
      <c r="F1321" s="12"/>
      <c r="G1321" s="21"/>
      <c r="H1321" s="21"/>
      <c r="I1321" s="18"/>
      <c r="J1321" s="13"/>
      <c r="K1321" s="16"/>
    </row>
    <row r="1322" spans="1:11" x14ac:dyDescent="0.25">
      <c r="A1322" s="2" t="s">
        <v>13</v>
      </c>
      <c r="B1322" s="3">
        <f>B1307+1</f>
        <v>89</v>
      </c>
      <c r="C1322" s="3"/>
      <c r="D1322" s="3"/>
      <c r="E1322" s="3"/>
      <c r="F1322" s="3"/>
      <c r="G1322" s="19"/>
      <c r="H1322" s="19"/>
      <c r="I1322" s="17"/>
      <c r="J1322" s="3"/>
      <c r="K1322" s="4"/>
    </row>
    <row r="1323" spans="1:11" x14ac:dyDescent="0.25">
      <c r="A1323" s="5"/>
      <c r="B1323" s="6" t="s">
        <v>4</v>
      </c>
      <c r="C1323" s="6" t="s">
        <v>5</v>
      </c>
      <c r="D1323" s="6" t="s">
        <v>6</v>
      </c>
      <c r="E1323" s="6"/>
      <c r="F1323" s="6"/>
      <c r="G1323" s="20"/>
      <c r="H1323" s="20"/>
      <c r="I1323" s="8"/>
      <c r="J1323" s="6"/>
      <c r="K1323" s="7"/>
    </row>
    <row r="1324" spans="1:11" x14ac:dyDescent="0.25">
      <c r="A1324" s="5">
        <v>1</v>
      </c>
      <c r="B1324" s="14">
        <f>B1309+J1319</f>
        <v>0.13333333333333286</v>
      </c>
      <c r="C1324" s="14">
        <f>C1309+K1319</f>
        <v>0.29333333333333234</v>
      </c>
      <c r="D1324" s="6">
        <f>D1309</f>
        <v>-1</v>
      </c>
      <c r="E1324" s="6"/>
      <c r="F1324" s="6"/>
      <c r="G1324" s="20"/>
      <c r="H1324" s="20"/>
      <c r="I1324" s="8"/>
      <c r="J1324" s="6"/>
      <c r="K1324" s="7"/>
    </row>
    <row r="1325" spans="1:11" x14ac:dyDescent="0.25">
      <c r="A1325" s="5"/>
      <c r="B1325" s="6"/>
      <c r="C1325" s="6"/>
      <c r="D1325" s="6"/>
      <c r="E1325" s="6"/>
      <c r="F1325" s="6"/>
      <c r="G1325" s="20"/>
      <c r="H1325" s="20"/>
      <c r="I1325" s="8"/>
      <c r="J1325" s="6"/>
      <c r="K1325" s="7"/>
    </row>
    <row r="1326" spans="1:11" x14ac:dyDescent="0.25">
      <c r="A1326" s="5"/>
      <c r="B1326" s="6"/>
      <c r="C1326" s="6"/>
      <c r="D1326" s="6"/>
      <c r="E1326" s="6"/>
      <c r="F1326" s="6"/>
      <c r="G1326" s="20"/>
      <c r="H1326" s="20"/>
      <c r="I1326" s="8"/>
      <c r="J1326" s="6"/>
      <c r="K1326" s="7"/>
    </row>
    <row r="1327" spans="1:11" x14ac:dyDescent="0.25">
      <c r="A1327" s="5" t="s">
        <v>10</v>
      </c>
      <c r="B1327" s="6" t="s">
        <v>2</v>
      </c>
      <c r="C1327" s="6" t="s">
        <v>3</v>
      </c>
      <c r="D1327" s="6" t="s">
        <v>0</v>
      </c>
      <c r="E1327" s="6" t="s">
        <v>15</v>
      </c>
      <c r="F1327" s="6" t="s">
        <v>1</v>
      </c>
      <c r="G1327" s="20" t="s">
        <v>17</v>
      </c>
      <c r="H1327" s="20" t="s">
        <v>16</v>
      </c>
      <c r="I1327" s="8" t="s">
        <v>7</v>
      </c>
      <c r="J1327" s="6" t="s">
        <v>11</v>
      </c>
      <c r="K1327" s="7" t="s">
        <v>12</v>
      </c>
    </row>
    <row r="1328" spans="1:11" x14ac:dyDescent="0.25">
      <c r="A1328" s="5">
        <v>1</v>
      </c>
      <c r="B1328" s="6">
        <f>B1313</f>
        <v>4</v>
      </c>
      <c r="C1328" s="6">
        <f>C1313</f>
        <v>3</v>
      </c>
      <c r="D1328" s="8">
        <f>B1328*B1324+C1328*C1324+D1324</f>
        <v>0.41333333333332845</v>
      </c>
      <c r="E1328" s="6">
        <f>IF(D1328&gt;=0,$F$1,$E$1)</f>
        <v>1</v>
      </c>
      <c r="F1328" s="6">
        <f>$F$8</f>
        <v>1</v>
      </c>
      <c r="G1328" s="20" t="str">
        <f>IF(E1328&gt;0,"A","B")</f>
        <v>A</v>
      </c>
      <c r="H1328" s="20" t="str">
        <f>IF(F1328&gt;0,"A","B")</f>
        <v>A</v>
      </c>
      <c r="I1328" s="8">
        <f t="shared" ref="I1328:I1333" si="963">F1328-E1328</f>
        <v>0</v>
      </c>
      <c r="J1328" s="8">
        <f t="shared" ref="J1328:J1333" si="964">$C$1*I1328*B1328</f>
        <v>0</v>
      </c>
      <c r="K1328" s="9">
        <f t="shared" ref="K1328:K1333" si="965">$C$1*I1328*C1328</f>
        <v>0</v>
      </c>
    </row>
    <row r="1329" spans="1:11" x14ac:dyDescent="0.25">
      <c r="A1329" s="5">
        <v>2</v>
      </c>
      <c r="B1329" s="6">
        <f t="shared" ref="B1329:C1329" si="966">B1314</f>
        <v>1</v>
      </c>
      <c r="C1329" s="6">
        <f t="shared" si="966"/>
        <v>1</v>
      </c>
      <c r="D1329" s="8">
        <f>B1329*B1324+C1329*C1324+D1324</f>
        <v>-0.5733333333333348</v>
      </c>
      <c r="E1329" s="6">
        <f t="shared" ref="E1329:E1333" si="967">IF(D1329&gt;=0,$F$1,$E$1)</f>
        <v>-1</v>
      </c>
      <c r="F1329" s="6">
        <f>$F$9</f>
        <v>-1</v>
      </c>
      <c r="G1329" s="20" t="str">
        <f t="shared" ref="G1329:G1333" si="968">IF(E1329&gt;0,"A","B")</f>
        <v>B</v>
      </c>
      <c r="H1329" s="20" t="str">
        <f t="shared" ref="H1329:H1333" si="969">IF(F1329&gt;0,"A","B")</f>
        <v>B</v>
      </c>
      <c r="I1329" s="8">
        <f t="shared" si="963"/>
        <v>0</v>
      </c>
      <c r="J1329" s="8">
        <f t="shared" si="964"/>
        <v>0</v>
      </c>
      <c r="K1329" s="9">
        <f t="shared" si="965"/>
        <v>0</v>
      </c>
    </row>
    <row r="1330" spans="1:11" x14ac:dyDescent="0.25">
      <c r="A1330" s="5">
        <v>3</v>
      </c>
      <c r="B1330" s="6">
        <f t="shared" ref="B1330:C1330" si="970">B1315</f>
        <v>2</v>
      </c>
      <c r="C1330" s="6">
        <f t="shared" si="970"/>
        <v>2</v>
      </c>
      <c r="D1330" s="8">
        <f>B1330*B1324+C1330*C1324+D1324</f>
        <v>-0.14666666666666961</v>
      </c>
      <c r="E1330" s="6">
        <f t="shared" si="967"/>
        <v>-1</v>
      </c>
      <c r="F1330" s="6">
        <f>$F$10</f>
        <v>-1</v>
      </c>
      <c r="G1330" s="20" t="str">
        <f t="shared" si="968"/>
        <v>B</v>
      </c>
      <c r="H1330" s="20" t="str">
        <f t="shared" si="969"/>
        <v>B</v>
      </c>
      <c r="I1330" s="8">
        <f t="shared" si="963"/>
        <v>0</v>
      </c>
      <c r="J1330" s="8">
        <f t="shared" si="964"/>
        <v>0</v>
      </c>
      <c r="K1330" s="9">
        <f t="shared" si="965"/>
        <v>0</v>
      </c>
    </row>
    <row r="1331" spans="1:11" x14ac:dyDescent="0.25">
      <c r="A1331" s="5">
        <v>4</v>
      </c>
      <c r="B1331" s="6">
        <f t="shared" ref="B1331:C1331" si="971">B1316</f>
        <v>2</v>
      </c>
      <c r="C1331" s="6">
        <f t="shared" si="971"/>
        <v>3</v>
      </c>
      <c r="D1331" s="8">
        <f>B1331*B1324+C1331*C1324+D1324</f>
        <v>0.14666666666666273</v>
      </c>
      <c r="E1331" s="6">
        <f t="shared" si="967"/>
        <v>1</v>
      </c>
      <c r="F1331" s="6">
        <f>$F$11</f>
        <v>1</v>
      </c>
      <c r="G1331" s="20" t="str">
        <f t="shared" si="968"/>
        <v>A</v>
      </c>
      <c r="H1331" s="20" t="str">
        <f t="shared" si="969"/>
        <v>A</v>
      </c>
      <c r="I1331" s="8">
        <f t="shared" si="963"/>
        <v>0</v>
      </c>
      <c r="J1331" s="8">
        <f t="shared" si="964"/>
        <v>0</v>
      </c>
      <c r="K1331" s="9">
        <f t="shared" si="965"/>
        <v>0</v>
      </c>
    </row>
    <row r="1332" spans="1:11" x14ac:dyDescent="0.25">
      <c r="A1332" s="5">
        <v>5</v>
      </c>
      <c r="B1332" s="6">
        <f t="shared" ref="B1332:C1332" si="972">B1317</f>
        <v>5</v>
      </c>
      <c r="C1332" s="6">
        <f t="shared" si="972"/>
        <v>3</v>
      </c>
      <c r="D1332" s="8">
        <f>B1332*B1324+C1332*C1324+D1324</f>
        <v>0.54666666666666131</v>
      </c>
      <c r="E1332" s="6">
        <f t="shared" si="967"/>
        <v>1</v>
      </c>
      <c r="F1332" s="6">
        <f>$F$12</f>
        <v>1</v>
      </c>
      <c r="G1332" s="20" t="str">
        <f t="shared" si="968"/>
        <v>A</v>
      </c>
      <c r="H1332" s="20" t="str">
        <f t="shared" si="969"/>
        <v>A</v>
      </c>
      <c r="I1332" s="8">
        <f t="shared" si="963"/>
        <v>0</v>
      </c>
      <c r="J1332" s="8">
        <f t="shared" si="964"/>
        <v>0</v>
      </c>
      <c r="K1332" s="9">
        <f t="shared" si="965"/>
        <v>0</v>
      </c>
    </row>
    <row r="1333" spans="1:11" x14ac:dyDescent="0.25">
      <c r="A1333" s="5">
        <v>6</v>
      </c>
      <c r="B1333" s="6">
        <f t="shared" ref="B1333:C1333" si="973">B1318</f>
        <v>3</v>
      </c>
      <c r="C1333" s="6">
        <f t="shared" si="973"/>
        <v>2</v>
      </c>
      <c r="D1333" s="8">
        <f>B1333*B1324+C1333*C1324+D1324</f>
        <v>-1.333333333333675E-2</v>
      </c>
      <c r="E1333" s="6">
        <f t="shared" si="967"/>
        <v>-1</v>
      </c>
      <c r="F1333" s="6">
        <f>$F$13</f>
        <v>-1</v>
      </c>
      <c r="G1333" s="20" t="str">
        <f t="shared" si="968"/>
        <v>B</v>
      </c>
      <c r="H1333" s="20" t="str">
        <f t="shared" si="969"/>
        <v>B</v>
      </c>
      <c r="I1333" s="8">
        <f t="shared" si="963"/>
        <v>0</v>
      </c>
      <c r="J1333" s="8">
        <f t="shared" si="964"/>
        <v>0</v>
      </c>
      <c r="K1333" s="9">
        <f t="shared" si="965"/>
        <v>0</v>
      </c>
    </row>
    <row r="1334" spans="1:11" x14ac:dyDescent="0.25">
      <c r="A1334" s="5"/>
      <c r="B1334" s="6"/>
      <c r="C1334" s="6"/>
      <c r="D1334" s="6"/>
      <c r="E1334" s="6"/>
      <c r="F1334" s="6"/>
      <c r="G1334" s="20" t="s">
        <v>8</v>
      </c>
      <c r="H1334" s="20"/>
      <c r="I1334" s="8">
        <f>SUM(I1328:I1333)</f>
        <v>0</v>
      </c>
      <c r="J1334" s="8">
        <f>AVERAGE(J1328:J1333)</f>
        <v>0</v>
      </c>
      <c r="K1334" s="9">
        <f>AVERAGE(K1328:K1333)</f>
        <v>0</v>
      </c>
    </row>
    <row r="1335" spans="1:11" x14ac:dyDescent="0.25">
      <c r="A1335" s="5"/>
      <c r="B1335" s="6"/>
      <c r="C1335" s="6"/>
      <c r="D1335" s="6"/>
      <c r="E1335" s="6"/>
      <c r="F1335" s="6"/>
      <c r="G1335" s="20" t="s">
        <v>9</v>
      </c>
      <c r="H1335" s="20"/>
      <c r="I1335" s="8">
        <f>SUMSQ(I1328:I1333)</f>
        <v>0</v>
      </c>
      <c r="J1335" s="10"/>
      <c r="K1335" s="15"/>
    </row>
    <row r="1336" spans="1:11" x14ac:dyDescent="0.25">
      <c r="A1336" s="11"/>
      <c r="B1336" s="12"/>
      <c r="C1336" s="12"/>
      <c r="D1336" s="12"/>
      <c r="E1336" s="12"/>
      <c r="F1336" s="12"/>
      <c r="G1336" s="21"/>
      <c r="H1336" s="21"/>
      <c r="I1336" s="18"/>
      <c r="J1336" s="13"/>
      <c r="K1336" s="16"/>
    </row>
    <row r="1337" spans="1:11" x14ac:dyDescent="0.25">
      <c r="A1337" s="2" t="s">
        <v>13</v>
      </c>
      <c r="B1337" s="3">
        <f>B1322+1</f>
        <v>90</v>
      </c>
      <c r="C1337" s="3"/>
      <c r="D1337" s="3"/>
      <c r="E1337" s="3"/>
      <c r="F1337" s="3"/>
      <c r="G1337" s="19"/>
      <c r="H1337" s="19"/>
      <c r="I1337" s="17"/>
      <c r="J1337" s="3"/>
      <c r="K1337" s="4"/>
    </row>
    <row r="1338" spans="1:11" x14ac:dyDescent="0.25">
      <c r="A1338" s="5"/>
      <c r="B1338" s="6" t="s">
        <v>4</v>
      </c>
      <c r="C1338" s="6" t="s">
        <v>5</v>
      </c>
      <c r="D1338" s="6" t="s">
        <v>6</v>
      </c>
      <c r="E1338" s="6"/>
      <c r="F1338" s="6"/>
      <c r="G1338" s="20"/>
      <c r="H1338" s="20"/>
      <c r="I1338" s="8"/>
      <c r="J1338" s="6"/>
      <c r="K1338" s="7"/>
    </row>
    <row r="1339" spans="1:11" x14ac:dyDescent="0.25">
      <c r="A1339" s="5">
        <v>1</v>
      </c>
      <c r="B1339" s="14">
        <f>B1324+J1334</f>
        <v>0.13333333333333286</v>
      </c>
      <c r="C1339" s="14">
        <f>C1324+K1334</f>
        <v>0.29333333333333234</v>
      </c>
      <c r="D1339" s="6">
        <f>D1324</f>
        <v>-1</v>
      </c>
      <c r="E1339" s="6"/>
      <c r="F1339" s="6"/>
      <c r="G1339" s="20"/>
      <c r="H1339" s="20"/>
      <c r="I1339" s="8"/>
      <c r="J1339" s="6"/>
      <c r="K1339" s="7"/>
    </row>
    <row r="1340" spans="1:11" x14ac:dyDescent="0.25">
      <c r="A1340" s="5"/>
      <c r="B1340" s="6"/>
      <c r="C1340" s="6"/>
      <c r="D1340" s="6"/>
      <c r="E1340" s="6"/>
      <c r="F1340" s="6"/>
      <c r="G1340" s="20"/>
      <c r="H1340" s="20"/>
      <c r="I1340" s="8"/>
      <c r="J1340" s="6"/>
      <c r="K1340" s="7"/>
    </row>
    <row r="1341" spans="1:11" x14ac:dyDescent="0.25">
      <c r="A1341" s="5"/>
      <c r="B1341" s="6"/>
      <c r="C1341" s="6"/>
      <c r="D1341" s="6"/>
      <c r="E1341" s="6"/>
      <c r="F1341" s="6"/>
      <c r="G1341" s="20"/>
      <c r="H1341" s="20"/>
      <c r="I1341" s="8"/>
      <c r="J1341" s="6"/>
      <c r="K1341" s="7"/>
    </row>
    <row r="1342" spans="1:11" x14ac:dyDescent="0.25">
      <c r="A1342" s="5" t="s">
        <v>10</v>
      </c>
      <c r="B1342" s="6" t="s">
        <v>2</v>
      </c>
      <c r="C1342" s="6" t="s">
        <v>3</v>
      </c>
      <c r="D1342" s="6" t="s">
        <v>0</v>
      </c>
      <c r="E1342" s="6" t="s">
        <v>15</v>
      </c>
      <c r="F1342" s="6" t="s">
        <v>1</v>
      </c>
      <c r="G1342" s="20" t="s">
        <v>17</v>
      </c>
      <c r="H1342" s="20" t="s">
        <v>16</v>
      </c>
      <c r="I1342" s="8" t="s">
        <v>7</v>
      </c>
      <c r="J1342" s="6" t="s">
        <v>11</v>
      </c>
      <c r="K1342" s="7" t="s">
        <v>12</v>
      </c>
    </row>
    <row r="1343" spans="1:11" x14ac:dyDescent="0.25">
      <c r="A1343" s="5">
        <v>1</v>
      </c>
      <c r="B1343" s="6">
        <f>B1328</f>
        <v>4</v>
      </c>
      <c r="C1343" s="6">
        <f>C1328</f>
        <v>3</v>
      </c>
      <c r="D1343" s="8">
        <f>B1343*B1339+C1343*C1339+D1339</f>
        <v>0.41333333333332845</v>
      </c>
      <c r="E1343" s="6">
        <f>IF(D1343&gt;=0,$F$1,$E$1)</f>
        <v>1</v>
      </c>
      <c r="F1343" s="6">
        <f>$F$8</f>
        <v>1</v>
      </c>
      <c r="G1343" s="20" t="str">
        <f>IF(E1343&gt;0,"A","B")</f>
        <v>A</v>
      </c>
      <c r="H1343" s="20" t="str">
        <f>IF(F1343&gt;0,"A","B")</f>
        <v>A</v>
      </c>
      <c r="I1343" s="8">
        <f t="shared" ref="I1343:I1348" si="974">F1343-E1343</f>
        <v>0</v>
      </c>
      <c r="J1343" s="8">
        <f t="shared" ref="J1343:J1348" si="975">$C$1*I1343*B1343</f>
        <v>0</v>
      </c>
      <c r="K1343" s="9">
        <f t="shared" ref="K1343:K1348" si="976">$C$1*I1343*C1343</f>
        <v>0</v>
      </c>
    </row>
    <row r="1344" spans="1:11" x14ac:dyDescent="0.25">
      <c r="A1344" s="5">
        <v>2</v>
      </c>
      <c r="B1344" s="6">
        <f t="shared" ref="B1344:C1344" si="977">B1329</f>
        <v>1</v>
      </c>
      <c r="C1344" s="6">
        <f t="shared" si="977"/>
        <v>1</v>
      </c>
      <c r="D1344" s="8">
        <f>B1344*B1339+C1344*C1339+D1339</f>
        <v>-0.5733333333333348</v>
      </c>
      <c r="E1344" s="6">
        <f t="shared" ref="E1344:E1348" si="978">IF(D1344&gt;=0,$F$1,$E$1)</f>
        <v>-1</v>
      </c>
      <c r="F1344" s="6">
        <f>$F$9</f>
        <v>-1</v>
      </c>
      <c r="G1344" s="20" t="str">
        <f t="shared" ref="G1344:G1348" si="979">IF(E1344&gt;0,"A","B")</f>
        <v>B</v>
      </c>
      <c r="H1344" s="20" t="str">
        <f t="shared" ref="H1344:H1348" si="980">IF(F1344&gt;0,"A","B")</f>
        <v>B</v>
      </c>
      <c r="I1344" s="8">
        <f t="shared" si="974"/>
        <v>0</v>
      </c>
      <c r="J1344" s="8">
        <f t="shared" si="975"/>
        <v>0</v>
      </c>
      <c r="K1344" s="9">
        <f t="shared" si="976"/>
        <v>0</v>
      </c>
    </row>
    <row r="1345" spans="1:11" x14ac:dyDescent="0.25">
      <c r="A1345" s="5">
        <v>3</v>
      </c>
      <c r="B1345" s="6">
        <f t="shared" ref="B1345:C1345" si="981">B1330</f>
        <v>2</v>
      </c>
      <c r="C1345" s="6">
        <f t="shared" si="981"/>
        <v>2</v>
      </c>
      <c r="D1345" s="8">
        <f>B1345*B1339+C1345*C1339+D1339</f>
        <v>-0.14666666666666961</v>
      </c>
      <c r="E1345" s="6">
        <f t="shared" si="978"/>
        <v>-1</v>
      </c>
      <c r="F1345" s="6">
        <f>$F$10</f>
        <v>-1</v>
      </c>
      <c r="G1345" s="20" t="str">
        <f t="shared" si="979"/>
        <v>B</v>
      </c>
      <c r="H1345" s="20" t="str">
        <f t="shared" si="980"/>
        <v>B</v>
      </c>
      <c r="I1345" s="8">
        <f t="shared" si="974"/>
        <v>0</v>
      </c>
      <c r="J1345" s="8">
        <f t="shared" si="975"/>
        <v>0</v>
      </c>
      <c r="K1345" s="9">
        <f t="shared" si="976"/>
        <v>0</v>
      </c>
    </row>
    <row r="1346" spans="1:11" x14ac:dyDescent="0.25">
      <c r="A1346" s="5">
        <v>4</v>
      </c>
      <c r="B1346" s="6">
        <f t="shared" ref="B1346:C1346" si="982">B1331</f>
        <v>2</v>
      </c>
      <c r="C1346" s="6">
        <f t="shared" si="982"/>
        <v>3</v>
      </c>
      <c r="D1346" s="8">
        <f>B1346*B1339+C1346*C1339+D1339</f>
        <v>0.14666666666666273</v>
      </c>
      <c r="E1346" s="6">
        <f t="shared" si="978"/>
        <v>1</v>
      </c>
      <c r="F1346" s="6">
        <f>$F$11</f>
        <v>1</v>
      </c>
      <c r="G1346" s="20" t="str">
        <f t="shared" si="979"/>
        <v>A</v>
      </c>
      <c r="H1346" s="20" t="str">
        <f t="shared" si="980"/>
        <v>A</v>
      </c>
      <c r="I1346" s="8">
        <f t="shared" si="974"/>
        <v>0</v>
      </c>
      <c r="J1346" s="8">
        <f t="shared" si="975"/>
        <v>0</v>
      </c>
      <c r="K1346" s="9">
        <f t="shared" si="976"/>
        <v>0</v>
      </c>
    </row>
    <row r="1347" spans="1:11" x14ac:dyDescent="0.25">
      <c r="A1347" s="5">
        <v>5</v>
      </c>
      <c r="B1347" s="6">
        <f t="shared" ref="B1347:C1347" si="983">B1332</f>
        <v>5</v>
      </c>
      <c r="C1347" s="6">
        <f t="shared" si="983"/>
        <v>3</v>
      </c>
      <c r="D1347" s="8">
        <f>B1347*B1339+C1347*C1339+D1339</f>
        <v>0.54666666666666131</v>
      </c>
      <c r="E1347" s="6">
        <f t="shared" si="978"/>
        <v>1</v>
      </c>
      <c r="F1347" s="6">
        <f>$F$12</f>
        <v>1</v>
      </c>
      <c r="G1347" s="20" t="str">
        <f t="shared" si="979"/>
        <v>A</v>
      </c>
      <c r="H1347" s="20" t="str">
        <f t="shared" si="980"/>
        <v>A</v>
      </c>
      <c r="I1347" s="8">
        <f t="shared" si="974"/>
        <v>0</v>
      </c>
      <c r="J1347" s="8">
        <f t="shared" si="975"/>
        <v>0</v>
      </c>
      <c r="K1347" s="9">
        <f t="shared" si="976"/>
        <v>0</v>
      </c>
    </row>
    <row r="1348" spans="1:11" x14ac:dyDescent="0.25">
      <c r="A1348" s="5">
        <v>6</v>
      </c>
      <c r="B1348" s="6">
        <f t="shared" ref="B1348:C1348" si="984">B1333</f>
        <v>3</v>
      </c>
      <c r="C1348" s="6">
        <f t="shared" si="984"/>
        <v>2</v>
      </c>
      <c r="D1348" s="8">
        <f>B1348*B1339+C1348*C1339+D1339</f>
        <v>-1.333333333333675E-2</v>
      </c>
      <c r="E1348" s="6">
        <f t="shared" si="978"/>
        <v>-1</v>
      </c>
      <c r="F1348" s="6">
        <f>$F$13</f>
        <v>-1</v>
      </c>
      <c r="G1348" s="20" t="str">
        <f t="shared" si="979"/>
        <v>B</v>
      </c>
      <c r="H1348" s="20" t="str">
        <f t="shared" si="980"/>
        <v>B</v>
      </c>
      <c r="I1348" s="8">
        <f t="shared" si="974"/>
        <v>0</v>
      </c>
      <c r="J1348" s="8">
        <f t="shared" si="975"/>
        <v>0</v>
      </c>
      <c r="K1348" s="9">
        <f t="shared" si="976"/>
        <v>0</v>
      </c>
    </row>
    <row r="1349" spans="1:11" x14ac:dyDescent="0.25">
      <c r="A1349" s="5"/>
      <c r="B1349" s="6"/>
      <c r="C1349" s="6"/>
      <c r="D1349" s="6"/>
      <c r="E1349" s="6"/>
      <c r="F1349" s="6"/>
      <c r="G1349" s="20" t="s">
        <v>8</v>
      </c>
      <c r="H1349" s="20"/>
      <c r="I1349" s="8">
        <f>SUM(I1343:I1348)</f>
        <v>0</v>
      </c>
      <c r="J1349" s="8">
        <f>AVERAGE(J1343:J1348)</f>
        <v>0</v>
      </c>
      <c r="K1349" s="9">
        <f>AVERAGE(K1343:K1348)</f>
        <v>0</v>
      </c>
    </row>
    <row r="1350" spans="1:11" x14ac:dyDescent="0.25">
      <c r="A1350" s="5"/>
      <c r="B1350" s="6"/>
      <c r="C1350" s="6"/>
      <c r="D1350" s="6"/>
      <c r="E1350" s="6"/>
      <c r="F1350" s="6"/>
      <c r="G1350" s="20" t="s">
        <v>9</v>
      </c>
      <c r="H1350" s="20"/>
      <c r="I1350" s="8">
        <f>SUMSQ(I1343:I1348)</f>
        <v>0</v>
      </c>
      <c r="J1350" s="10"/>
      <c r="K1350" s="15"/>
    </row>
    <row r="1351" spans="1:11" x14ac:dyDescent="0.25">
      <c r="A1351" s="11"/>
      <c r="B1351" s="12"/>
      <c r="C1351" s="12"/>
      <c r="D1351" s="12"/>
      <c r="E1351" s="12"/>
      <c r="F1351" s="12"/>
      <c r="G1351" s="21"/>
      <c r="H1351" s="21"/>
      <c r="I1351" s="18"/>
      <c r="J1351" s="13"/>
      <c r="K1351" s="16"/>
    </row>
    <row r="1352" spans="1:11" x14ac:dyDescent="0.25">
      <c r="A1352" s="2" t="s">
        <v>13</v>
      </c>
      <c r="B1352" s="3">
        <f>B1337+1</f>
        <v>91</v>
      </c>
      <c r="C1352" s="3"/>
      <c r="D1352" s="3"/>
      <c r="E1352" s="3"/>
      <c r="F1352" s="3"/>
      <c r="G1352" s="19"/>
      <c r="H1352" s="19"/>
      <c r="I1352" s="17"/>
      <c r="J1352" s="3"/>
      <c r="K1352" s="4"/>
    </row>
    <row r="1353" spans="1:11" x14ac:dyDescent="0.25">
      <c r="A1353" s="5"/>
      <c r="B1353" s="6" t="s">
        <v>4</v>
      </c>
      <c r="C1353" s="6" t="s">
        <v>5</v>
      </c>
      <c r="D1353" s="6" t="s">
        <v>6</v>
      </c>
      <c r="E1353" s="6"/>
      <c r="F1353" s="6"/>
      <c r="G1353" s="20"/>
      <c r="H1353" s="20"/>
      <c r="I1353" s="8"/>
      <c r="J1353" s="6"/>
      <c r="K1353" s="7"/>
    </row>
    <row r="1354" spans="1:11" x14ac:dyDescent="0.25">
      <c r="A1354" s="5">
        <v>1</v>
      </c>
      <c r="B1354" s="14">
        <f>B1339+J1349</f>
        <v>0.13333333333333286</v>
      </c>
      <c r="C1354" s="14">
        <f>C1339+K1349</f>
        <v>0.29333333333333234</v>
      </c>
      <c r="D1354" s="6">
        <f>D1339</f>
        <v>-1</v>
      </c>
      <c r="E1354" s="6"/>
      <c r="F1354" s="6"/>
      <c r="G1354" s="20"/>
      <c r="H1354" s="20"/>
      <c r="I1354" s="8"/>
      <c r="J1354" s="6"/>
      <c r="K1354" s="7"/>
    </row>
    <row r="1355" spans="1:11" x14ac:dyDescent="0.25">
      <c r="A1355" s="5"/>
      <c r="B1355" s="6"/>
      <c r="C1355" s="6"/>
      <c r="D1355" s="6"/>
      <c r="E1355" s="6"/>
      <c r="F1355" s="6"/>
      <c r="G1355" s="20"/>
      <c r="H1355" s="20"/>
      <c r="I1355" s="8"/>
      <c r="J1355" s="6"/>
      <c r="K1355" s="7"/>
    </row>
    <row r="1356" spans="1:11" x14ac:dyDescent="0.25">
      <c r="A1356" s="5"/>
      <c r="B1356" s="6"/>
      <c r="C1356" s="6"/>
      <c r="D1356" s="6"/>
      <c r="E1356" s="6"/>
      <c r="F1356" s="6"/>
      <c r="G1356" s="20"/>
      <c r="H1356" s="20"/>
      <c r="I1356" s="8"/>
      <c r="J1356" s="6"/>
      <c r="K1356" s="7"/>
    </row>
    <row r="1357" spans="1:11" x14ac:dyDescent="0.25">
      <c r="A1357" s="5" t="s">
        <v>10</v>
      </c>
      <c r="B1357" s="6" t="s">
        <v>2</v>
      </c>
      <c r="C1357" s="6" t="s">
        <v>3</v>
      </c>
      <c r="D1357" s="6" t="s">
        <v>0</v>
      </c>
      <c r="E1357" s="6" t="s">
        <v>15</v>
      </c>
      <c r="F1357" s="6" t="s">
        <v>1</v>
      </c>
      <c r="G1357" s="20" t="s">
        <v>17</v>
      </c>
      <c r="H1357" s="20" t="s">
        <v>16</v>
      </c>
      <c r="I1357" s="8" t="s">
        <v>7</v>
      </c>
      <c r="J1357" s="6" t="s">
        <v>11</v>
      </c>
      <c r="K1357" s="7" t="s">
        <v>12</v>
      </c>
    </row>
    <row r="1358" spans="1:11" x14ac:dyDescent="0.25">
      <c r="A1358" s="5">
        <v>1</v>
      </c>
      <c r="B1358" s="6">
        <f>B1343</f>
        <v>4</v>
      </c>
      <c r="C1358" s="6">
        <f>C1343</f>
        <v>3</v>
      </c>
      <c r="D1358" s="8">
        <f>B1358*B1354+C1358*C1354+D1354</f>
        <v>0.41333333333332845</v>
      </c>
      <c r="E1358" s="6">
        <f>IF(D1358&gt;=0,$F$1,$E$1)</f>
        <v>1</v>
      </c>
      <c r="F1358" s="6">
        <f>$F$8</f>
        <v>1</v>
      </c>
      <c r="G1358" s="20" t="str">
        <f>IF(E1358&gt;0,"A","B")</f>
        <v>A</v>
      </c>
      <c r="H1358" s="20" t="str">
        <f>IF(F1358&gt;0,"A","B")</f>
        <v>A</v>
      </c>
      <c r="I1358" s="8">
        <f t="shared" ref="I1358:I1363" si="985">F1358-E1358</f>
        <v>0</v>
      </c>
      <c r="J1358" s="8">
        <f t="shared" ref="J1358:J1363" si="986">$C$1*I1358*B1358</f>
        <v>0</v>
      </c>
      <c r="K1358" s="9">
        <f t="shared" ref="K1358:K1363" si="987">$C$1*I1358*C1358</f>
        <v>0</v>
      </c>
    </row>
    <row r="1359" spans="1:11" x14ac:dyDescent="0.25">
      <c r="A1359" s="5">
        <v>2</v>
      </c>
      <c r="B1359" s="6">
        <f t="shared" ref="B1359:C1359" si="988">B1344</f>
        <v>1</v>
      </c>
      <c r="C1359" s="6">
        <f t="shared" si="988"/>
        <v>1</v>
      </c>
      <c r="D1359" s="8">
        <f>B1359*B1354+C1359*C1354+D1354</f>
        <v>-0.5733333333333348</v>
      </c>
      <c r="E1359" s="6">
        <f t="shared" ref="E1359:E1363" si="989">IF(D1359&gt;=0,$F$1,$E$1)</f>
        <v>-1</v>
      </c>
      <c r="F1359" s="6">
        <f>$F$9</f>
        <v>-1</v>
      </c>
      <c r="G1359" s="20" t="str">
        <f t="shared" ref="G1359:G1363" si="990">IF(E1359&gt;0,"A","B")</f>
        <v>B</v>
      </c>
      <c r="H1359" s="20" t="str">
        <f t="shared" ref="H1359:H1363" si="991">IF(F1359&gt;0,"A","B")</f>
        <v>B</v>
      </c>
      <c r="I1359" s="8">
        <f t="shared" si="985"/>
        <v>0</v>
      </c>
      <c r="J1359" s="8">
        <f t="shared" si="986"/>
        <v>0</v>
      </c>
      <c r="K1359" s="9">
        <f t="shared" si="987"/>
        <v>0</v>
      </c>
    </row>
    <row r="1360" spans="1:11" x14ac:dyDescent="0.25">
      <c r="A1360" s="5">
        <v>3</v>
      </c>
      <c r="B1360" s="6">
        <f t="shared" ref="B1360:C1360" si="992">B1345</f>
        <v>2</v>
      </c>
      <c r="C1360" s="6">
        <f t="shared" si="992"/>
        <v>2</v>
      </c>
      <c r="D1360" s="8">
        <f>B1360*B1354+C1360*C1354+D1354</f>
        <v>-0.14666666666666961</v>
      </c>
      <c r="E1360" s="6">
        <f t="shared" si="989"/>
        <v>-1</v>
      </c>
      <c r="F1360" s="6">
        <f>$F$10</f>
        <v>-1</v>
      </c>
      <c r="G1360" s="20" t="str">
        <f t="shared" si="990"/>
        <v>B</v>
      </c>
      <c r="H1360" s="20" t="str">
        <f t="shared" si="991"/>
        <v>B</v>
      </c>
      <c r="I1360" s="8">
        <f t="shared" si="985"/>
        <v>0</v>
      </c>
      <c r="J1360" s="8">
        <f t="shared" si="986"/>
        <v>0</v>
      </c>
      <c r="K1360" s="9">
        <f t="shared" si="987"/>
        <v>0</v>
      </c>
    </row>
    <row r="1361" spans="1:11" x14ac:dyDescent="0.25">
      <c r="A1361" s="5">
        <v>4</v>
      </c>
      <c r="B1361" s="6">
        <f t="shared" ref="B1361:C1361" si="993">B1346</f>
        <v>2</v>
      </c>
      <c r="C1361" s="6">
        <f t="shared" si="993"/>
        <v>3</v>
      </c>
      <c r="D1361" s="8">
        <f>B1361*B1354+C1361*C1354+D1354</f>
        <v>0.14666666666666273</v>
      </c>
      <c r="E1361" s="6">
        <f t="shared" si="989"/>
        <v>1</v>
      </c>
      <c r="F1361" s="6">
        <f>$F$11</f>
        <v>1</v>
      </c>
      <c r="G1361" s="20" t="str">
        <f t="shared" si="990"/>
        <v>A</v>
      </c>
      <c r="H1361" s="20" t="str">
        <f t="shared" si="991"/>
        <v>A</v>
      </c>
      <c r="I1361" s="8">
        <f t="shared" si="985"/>
        <v>0</v>
      </c>
      <c r="J1361" s="8">
        <f t="shared" si="986"/>
        <v>0</v>
      </c>
      <c r="K1361" s="9">
        <f t="shared" si="987"/>
        <v>0</v>
      </c>
    </row>
    <row r="1362" spans="1:11" x14ac:dyDescent="0.25">
      <c r="A1362" s="5">
        <v>5</v>
      </c>
      <c r="B1362" s="6">
        <f t="shared" ref="B1362:C1362" si="994">B1347</f>
        <v>5</v>
      </c>
      <c r="C1362" s="6">
        <f t="shared" si="994"/>
        <v>3</v>
      </c>
      <c r="D1362" s="8">
        <f>B1362*B1354+C1362*C1354+D1354</f>
        <v>0.54666666666666131</v>
      </c>
      <c r="E1362" s="6">
        <f t="shared" si="989"/>
        <v>1</v>
      </c>
      <c r="F1362" s="6">
        <f>$F$12</f>
        <v>1</v>
      </c>
      <c r="G1362" s="20" t="str">
        <f t="shared" si="990"/>
        <v>A</v>
      </c>
      <c r="H1362" s="20" t="str">
        <f t="shared" si="991"/>
        <v>A</v>
      </c>
      <c r="I1362" s="8">
        <f t="shared" si="985"/>
        <v>0</v>
      </c>
      <c r="J1362" s="8">
        <f t="shared" si="986"/>
        <v>0</v>
      </c>
      <c r="K1362" s="9">
        <f t="shared" si="987"/>
        <v>0</v>
      </c>
    </row>
    <row r="1363" spans="1:11" x14ac:dyDescent="0.25">
      <c r="A1363" s="5">
        <v>6</v>
      </c>
      <c r="B1363" s="6">
        <f t="shared" ref="B1363:C1363" si="995">B1348</f>
        <v>3</v>
      </c>
      <c r="C1363" s="6">
        <f t="shared" si="995"/>
        <v>2</v>
      </c>
      <c r="D1363" s="8">
        <f>B1363*B1354+C1363*C1354+D1354</f>
        <v>-1.333333333333675E-2</v>
      </c>
      <c r="E1363" s="6">
        <f t="shared" si="989"/>
        <v>-1</v>
      </c>
      <c r="F1363" s="6">
        <f>$F$13</f>
        <v>-1</v>
      </c>
      <c r="G1363" s="20" t="str">
        <f t="shared" si="990"/>
        <v>B</v>
      </c>
      <c r="H1363" s="20" t="str">
        <f t="shared" si="991"/>
        <v>B</v>
      </c>
      <c r="I1363" s="8">
        <f t="shared" si="985"/>
        <v>0</v>
      </c>
      <c r="J1363" s="8">
        <f t="shared" si="986"/>
        <v>0</v>
      </c>
      <c r="K1363" s="9">
        <f t="shared" si="987"/>
        <v>0</v>
      </c>
    </row>
    <row r="1364" spans="1:11" x14ac:dyDescent="0.25">
      <c r="A1364" s="5"/>
      <c r="B1364" s="6"/>
      <c r="C1364" s="6"/>
      <c r="D1364" s="6"/>
      <c r="E1364" s="6"/>
      <c r="F1364" s="6"/>
      <c r="G1364" s="20" t="s">
        <v>8</v>
      </c>
      <c r="H1364" s="20"/>
      <c r="I1364" s="8">
        <f>SUM(I1358:I1363)</f>
        <v>0</v>
      </c>
      <c r="J1364" s="8">
        <f>AVERAGE(J1358:J1363)</f>
        <v>0</v>
      </c>
      <c r="K1364" s="9">
        <f>AVERAGE(K1358:K1363)</f>
        <v>0</v>
      </c>
    </row>
    <row r="1365" spans="1:11" x14ac:dyDescent="0.25">
      <c r="A1365" s="5"/>
      <c r="B1365" s="6"/>
      <c r="C1365" s="6"/>
      <c r="D1365" s="6"/>
      <c r="E1365" s="6"/>
      <c r="F1365" s="6"/>
      <c r="G1365" s="20" t="s">
        <v>9</v>
      </c>
      <c r="H1365" s="20"/>
      <c r="I1365" s="8">
        <f>SUMSQ(I1358:I1363)</f>
        <v>0</v>
      </c>
      <c r="J1365" s="10"/>
      <c r="K1365" s="15"/>
    </row>
    <row r="1366" spans="1:11" x14ac:dyDescent="0.25">
      <c r="A1366" s="11"/>
      <c r="B1366" s="12"/>
      <c r="C1366" s="12"/>
      <c r="D1366" s="12"/>
      <c r="E1366" s="12"/>
      <c r="F1366" s="12"/>
      <c r="G1366" s="21"/>
      <c r="H1366" s="21"/>
      <c r="I1366" s="18"/>
      <c r="J1366" s="13"/>
      <c r="K1366" s="16"/>
    </row>
    <row r="1367" spans="1:11" x14ac:dyDescent="0.25">
      <c r="A1367" s="2" t="s">
        <v>13</v>
      </c>
      <c r="B1367" s="3">
        <f>B1352+1</f>
        <v>92</v>
      </c>
      <c r="C1367" s="3"/>
      <c r="D1367" s="3"/>
      <c r="E1367" s="3"/>
      <c r="F1367" s="3"/>
      <c r="G1367" s="19"/>
      <c r="H1367" s="19"/>
      <c r="I1367" s="17"/>
      <c r="J1367" s="3"/>
      <c r="K1367" s="4"/>
    </row>
    <row r="1368" spans="1:11" x14ac:dyDescent="0.25">
      <c r="A1368" s="5"/>
      <c r="B1368" s="6" t="s">
        <v>4</v>
      </c>
      <c r="C1368" s="6" t="s">
        <v>5</v>
      </c>
      <c r="D1368" s="6" t="s">
        <v>6</v>
      </c>
      <c r="E1368" s="6"/>
      <c r="F1368" s="6"/>
      <c r="G1368" s="20"/>
      <c r="H1368" s="20"/>
      <c r="I1368" s="8"/>
      <c r="J1368" s="6"/>
      <c r="K1368" s="7"/>
    </row>
    <row r="1369" spans="1:11" x14ac:dyDescent="0.25">
      <c r="A1369" s="5">
        <v>1</v>
      </c>
      <c r="B1369" s="14">
        <f>B1354+J1364</f>
        <v>0.13333333333333286</v>
      </c>
      <c r="C1369" s="14">
        <f>C1354+K1364</f>
        <v>0.29333333333333234</v>
      </c>
      <c r="D1369" s="6">
        <f>D1354</f>
        <v>-1</v>
      </c>
      <c r="E1369" s="6"/>
      <c r="F1369" s="6"/>
      <c r="G1369" s="20"/>
      <c r="H1369" s="20"/>
      <c r="I1369" s="8"/>
      <c r="J1369" s="6"/>
      <c r="K1369" s="7"/>
    </row>
    <row r="1370" spans="1:11" x14ac:dyDescent="0.25">
      <c r="A1370" s="5"/>
      <c r="B1370" s="6"/>
      <c r="C1370" s="6"/>
      <c r="D1370" s="6"/>
      <c r="E1370" s="6"/>
      <c r="F1370" s="6"/>
      <c r="G1370" s="20"/>
      <c r="H1370" s="20"/>
      <c r="I1370" s="8"/>
      <c r="J1370" s="6"/>
      <c r="K1370" s="7"/>
    </row>
    <row r="1371" spans="1:11" x14ac:dyDescent="0.25">
      <c r="A1371" s="5"/>
      <c r="B1371" s="6"/>
      <c r="C1371" s="6"/>
      <c r="D1371" s="6"/>
      <c r="E1371" s="6"/>
      <c r="F1371" s="6"/>
      <c r="G1371" s="20"/>
      <c r="H1371" s="20"/>
      <c r="I1371" s="8"/>
      <c r="J1371" s="6"/>
      <c r="K1371" s="7"/>
    </row>
    <row r="1372" spans="1:11" x14ac:dyDescent="0.25">
      <c r="A1372" s="5" t="s">
        <v>10</v>
      </c>
      <c r="B1372" s="6" t="s">
        <v>2</v>
      </c>
      <c r="C1372" s="6" t="s">
        <v>3</v>
      </c>
      <c r="D1372" s="6" t="s">
        <v>0</v>
      </c>
      <c r="E1372" s="6" t="s">
        <v>15</v>
      </c>
      <c r="F1372" s="6" t="s">
        <v>1</v>
      </c>
      <c r="G1372" s="20" t="s">
        <v>17</v>
      </c>
      <c r="H1372" s="20" t="s">
        <v>16</v>
      </c>
      <c r="I1372" s="8" t="s">
        <v>7</v>
      </c>
      <c r="J1372" s="6" t="s">
        <v>11</v>
      </c>
      <c r="K1372" s="7" t="s">
        <v>12</v>
      </c>
    </row>
    <row r="1373" spans="1:11" x14ac:dyDescent="0.25">
      <c r="A1373" s="5">
        <v>1</v>
      </c>
      <c r="B1373" s="6">
        <f>B1358</f>
        <v>4</v>
      </c>
      <c r="C1373" s="6">
        <f>C1358</f>
        <v>3</v>
      </c>
      <c r="D1373" s="8">
        <f>B1373*B1369+C1373*C1369+D1369</f>
        <v>0.41333333333332845</v>
      </c>
      <c r="E1373" s="6">
        <f>IF(D1373&gt;=0,$F$1,$E$1)</f>
        <v>1</v>
      </c>
      <c r="F1373" s="6">
        <f>$F$8</f>
        <v>1</v>
      </c>
      <c r="G1373" s="20" t="str">
        <f>IF(E1373&gt;0,"A","B")</f>
        <v>A</v>
      </c>
      <c r="H1373" s="20" t="str">
        <f>IF(F1373&gt;0,"A","B")</f>
        <v>A</v>
      </c>
      <c r="I1373" s="8">
        <f t="shared" ref="I1373:I1378" si="996">F1373-E1373</f>
        <v>0</v>
      </c>
      <c r="J1373" s="8">
        <f t="shared" ref="J1373:J1378" si="997">$C$1*I1373*B1373</f>
        <v>0</v>
      </c>
      <c r="K1373" s="9">
        <f t="shared" ref="K1373:K1378" si="998">$C$1*I1373*C1373</f>
        <v>0</v>
      </c>
    </row>
    <row r="1374" spans="1:11" x14ac:dyDescent="0.25">
      <c r="A1374" s="5">
        <v>2</v>
      </c>
      <c r="B1374" s="6">
        <f t="shared" ref="B1374:C1374" si="999">B1359</f>
        <v>1</v>
      </c>
      <c r="C1374" s="6">
        <f t="shared" si="999"/>
        <v>1</v>
      </c>
      <c r="D1374" s="8">
        <f>B1374*B1369+C1374*C1369+D1369</f>
        <v>-0.5733333333333348</v>
      </c>
      <c r="E1374" s="6">
        <f t="shared" ref="E1374:E1378" si="1000">IF(D1374&gt;=0,$F$1,$E$1)</f>
        <v>-1</v>
      </c>
      <c r="F1374" s="6">
        <f>$F$9</f>
        <v>-1</v>
      </c>
      <c r="G1374" s="20" t="str">
        <f t="shared" ref="G1374:G1378" si="1001">IF(E1374&gt;0,"A","B")</f>
        <v>B</v>
      </c>
      <c r="H1374" s="20" t="str">
        <f t="shared" ref="H1374:H1378" si="1002">IF(F1374&gt;0,"A","B")</f>
        <v>B</v>
      </c>
      <c r="I1374" s="8">
        <f t="shared" si="996"/>
        <v>0</v>
      </c>
      <c r="J1374" s="8">
        <f t="shared" si="997"/>
        <v>0</v>
      </c>
      <c r="K1374" s="9">
        <f t="shared" si="998"/>
        <v>0</v>
      </c>
    </row>
    <row r="1375" spans="1:11" x14ac:dyDescent="0.25">
      <c r="A1375" s="5">
        <v>3</v>
      </c>
      <c r="B1375" s="6">
        <f t="shared" ref="B1375:C1375" si="1003">B1360</f>
        <v>2</v>
      </c>
      <c r="C1375" s="6">
        <f t="shared" si="1003"/>
        <v>2</v>
      </c>
      <c r="D1375" s="8">
        <f>B1375*B1369+C1375*C1369+D1369</f>
        <v>-0.14666666666666961</v>
      </c>
      <c r="E1375" s="6">
        <f t="shared" si="1000"/>
        <v>-1</v>
      </c>
      <c r="F1375" s="6">
        <f>$F$10</f>
        <v>-1</v>
      </c>
      <c r="G1375" s="20" t="str">
        <f t="shared" si="1001"/>
        <v>B</v>
      </c>
      <c r="H1375" s="20" t="str">
        <f t="shared" si="1002"/>
        <v>B</v>
      </c>
      <c r="I1375" s="8">
        <f t="shared" si="996"/>
        <v>0</v>
      </c>
      <c r="J1375" s="8">
        <f t="shared" si="997"/>
        <v>0</v>
      </c>
      <c r="K1375" s="9">
        <f t="shared" si="998"/>
        <v>0</v>
      </c>
    </row>
    <row r="1376" spans="1:11" x14ac:dyDescent="0.25">
      <c r="A1376" s="5">
        <v>4</v>
      </c>
      <c r="B1376" s="6">
        <f t="shared" ref="B1376:C1376" si="1004">B1361</f>
        <v>2</v>
      </c>
      <c r="C1376" s="6">
        <f t="shared" si="1004"/>
        <v>3</v>
      </c>
      <c r="D1376" s="8">
        <f>B1376*B1369+C1376*C1369+D1369</f>
        <v>0.14666666666666273</v>
      </c>
      <c r="E1376" s="6">
        <f t="shared" si="1000"/>
        <v>1</v>
      </c>
      <c r="F1376" s="6">
        <f>$F$11</f>
        <v>1</v>
      </c>
      <c r="G1376" s="20" t="str">
        <f t="shared" si="1001"/>
        <v>A</v>
      </c>
      <c r="H1376" s="20" t="str">
        <f t="shared" si="1002"/>
        <v>A</v>
      </c>
      <c r="I1376" s="8">
        <f t="shared" si="996"/>
        <v>0</v>
      </c>
      <c r="J1376" s="8">
        <f t="shared" si="997"/>
        <v>0</v>
      </c>
      <c r="K1376" s="9">
        <f t="shared" si="998"/>
        <v>0</v>
      </c>
    </row>
    <row r="1377" spans="1:11" x14ac:dyDescent="0.25">
      <c r="A1377" s="5">
        <v>5</v>
      </c>
      <c r="B1377" s="6">
        <f t="shared" ref="B1377:C1377" si="1005">B1362</f>
        <v>5</v>
      </c>
      <c r="C1377" s="6">
        <f t="shared" si="1005"/>
        <v>3</v>
      </c>
      <c r="D1377" s="8">
        <f>B1377*B1369+C1377*C1369+D1369</f>
        <v>0.54666666666666131</v>
      </c>
      <c r="E1377" s="6">
        <f t="shared" si="1000"/>
        <v>1</v>
      </c>
      <c r="F1377" s="6">
        <f>$F$12</f>
        <v>1</v>
      </c>
      <c r="G1377" s="20" t="str">
        <f t="shared" si="1001"/>
        <v>A</v>
      </c>
      <c r="H1377" s="20" t="str">
        <f t="shared" si="1002"/>
        <v>A</v>
      </c>
      <c r="I1377" s="8">
        <f t="shared" si="996"/>
        <v>0</v>
      </c>
      <c r="J1377" s="8">
        <f t="shared" si="997"/>
        <v>0</v>
      </c>
      <c r="K1377" s="9">
        <f t="shared" si="998"/>
        <v>0</v>
      </c>
    </row>
    <row r="1378" spans="1:11" x14ac:dyDescent="0.25">
      <c r="A1378" s="5">
        <v>6</v>
      </c>
      <c r="B1378" s="6">
        <f t="shared" ref="B1378:C1378" si="1006">B1363</f>
        <v>3</v>
      </c>
      <c r="C1378" s="6">
        <f t="shared" si="1006"/>
        <v>2</v>
      </c>
      <c r="D1378" s="8">
        <f>B1378*B1369+C1378*C1369+D1369</f>
        <v>-1.333333333333675E-2</v>
      </c>
      <c r="E1378" s="6">
        <f t="shared" si="1000"/>
        <v>-1</v>
      </c>
      <c r="F1378" s="6">
        <f>$F$13</f>
        <v>-1</v>
      </c>
      <c r="G1378" s="20" t="str">
        <f t="shared" si="1001"/>
        <v>B</v>
      </c>
      <c r="H1378" s="20" t="str">
        <f t="shared" si="1002"/>
        <v>B</v>
      </c>
      <c r="I1378" s="8">
        <f t="shared" si="996"/>
        <v>0</v>
      </c>
      <c r="J1378" s="8">
        <f t="shared" si="997"/>
        <v>0</v>
      </c>
      <c r="K1378" s="9">
        <f t="shared" si="998"/>
        <v>0</v>
      </c>
    </row>
    <row r="1379" spans="1:11" x14ac:dyDescent="0.25">
      <c r="A1379" s="5"/>
      <c r="B1379" s="6"/>
      <c r="C1379" s="6"/>
      <c r="D1379" s="6"/>
      <c r="E1379" s="6"/>
      <c r="F1379" s="6"/>
      <c r="G1379" s="20" t="s">
        <v>8</v>
      </c>
      <c r="H1379" s="20"/>
      <c r="I1379" s="8">
        <f>SUM(I1373:I1378)</f>
        <v>0</v>
      </c>
      <c r="J1379" s="8">
        <f>AVERAGE(J1373:J1378)</f>
        <v>0</v>
      </c>
      <c r="K1379" s="9">
        <f>AVERAGE(K1373:K1378)</f>
        <v>0</v>
      </c>
    </row>
    <row r="1380" spans="1:11" x14ac:dyDescent="0.25">
      <c r="A1380" s="5"/>
      <c r="B1380" s="6"/>
      <c r="C1380" s="6"/>
      <c r="D1380" s="6"/>
      <c r="E1380" s="6"/>
      <c r="F1380" s="6"/>
      <c r="G1380" s="20" t="s">
        <v>9</v>
      </c>
      <c r="H1380" s="20"/>
      <c r="I1380" s="8">
        <f>SUMSQ(I1373:I1378)</f>
        <v>0</v>
      </c>
      <c r="J1380" s="10"/>
      <c r="K1380" s="15"/>
    </row>
    <row r="1381" spans="1:11" x14ac:dyDescent="0.25">
      <c r="A1381" s="11"/>
      <c r="B1381" s="12"/>
      <c r="C1381" s="12"/>
      <c r="D1381" s="12"/>
      <c r="E1381" s="12"/>
      <c r="F1381" s="12"/>
      <c r="G1381" s="21"/>
      <c r="H1381" s="21"/>
      <c r="I1381" s="18"/>
      <c r="J1381" s="13"/>
      <c r="K1381" s="16"/>
    </row>
    <row r="1382" spans="1:11" x14ac:dyDescent="0.25">
      <c r="A1382" s="2" t="s">
        <v>13</v>
      </c>
      <c r="B1382" s="3">
        <f>B1367+1</f>
        <v>93</v>
      </c>
      <c r="C1382" s="3"/>
      <c r="D1382" s="3"/>
      <c r="E1382" s="3"/>
      <c r="F1382" s="3"/>
      <c r="G1382" s="19"/>
      <c r="H1382" s="19"/>
      <c r="I1382" s="17"/>
      <c r="J1382" s="3"/>
      <c r="K1382" s="4"/>
    </row>
    <row r="1383" spans="1:11" x14ac:dyDescent="0.25">
      <c r="A1383" s="5"/>
      <c r="B1383" s="6" t="s">
        <v>4</v>
      </c>
      <c r="C1383" s="6" t="s">
        <v>5</v>
      </c>
      <c r="D1383" s="6" t="s">
        <v>6</v>
      </c>
      <c r="E1383" s="6"/>
      <c r="F1383" s="6"/>
      <c r="G1383" s="20"/>
      <c r="H1383" s="20"/>
      <c r="I1383" s="8"/>
      <c r="J1383" s="6"/>
      <c r="K1383" s="7"/>
    </row>
    <row r="1384" spans="1:11" x14ac:dyDescent="0.25">
      <c r="A1384" s="5">
        <v>1</v>
      </c>
      <c r="B1384" s="14">
        <f>B1369+J1379</f>
        <v>0.13333333333333286</v>
      </c>
      <c r="C1384" s="14">
        <f>C1369+K1379</f>
        <v>0.29333333333333234</v>
      </c>
      <c r="D1384" s="6">
        <f>D1369</f>
        <v>-1</v>
      </c>
      <c r="E1384" s="6"/>
      <c r="F1384" s="6"/>
      <c r="G1384" s="20"/>
      <c r="H1384" s="20"/>
      <c r="I1384" s="8"/>
      <c r="J1384" s="6"/>
      <c r="K1384" s="7"/>
    </row>
    <row r="1385" spans="1:11" x14ac:dyDescent="0.25">
      <c r="A1385" s="5"/>
      <c r="B1385" s="6"/>
      <c r="C1385" s="6"/>
      <c r="D1385" s="6"/>
      <c r="E1385" s="6"/>
      <c r="F1385" s="6"/>
      <c r="G1385" s="20"/>
      <c r="H1385" s="20"/>
      <c r="I1385" s="8"/>
      <c r="J1385" s="6"/>
      <c r="K1385" s="7"/>
    </row>
    <row r="1386" spans="1:11" x14ac:dyDescent="0.25">
      <c r="A1386" s="5"/>
      <c r="B1386" s="6"/>
      <c r="C1386" s="6"/>
      <c r="D1386" s="6"/>
      <c r="E1386" s="6"/>
      <c r="F1386" s="6"/>
      <c r="G1386" s="20"/>
      <c r="H1386" s="20"/>
      <c r="I1386" s="8"/>
      <c r="J1386" s="6"/>
      <c r="K1386" s="7"/>
    </row>
    <row r="1387" spans="1:11" x14ac:dyDescent="0.25">
      <c r="A1387" s="5" t="s">
        <v>10</v>
      </c>
      <c r="B1387" s="6" t="s">
        <v>2</v>
      </c>
      <c r="C1387" s="6" t="s">
        <v>3</v>
      </c>
      <c r="D1387" s="6" t="s">
        <v>0</v>
      </c>
      <c r="E1387" s="6" t="s">
        <v>15</v>
      </c>
      <c r="F1387" s="6" t="s">
        <v>1</v>
      </c>
      <c r="G1387" s="20" t="s">
        <v>17</v>
      </c>
      <c r="H1387" s="20" t="s">
        <v>16</v>
      </c>
      <c r="I1387" s="8" t="s">
        <v>7</v>
      </c>
      <c r="J1387" s="6" t="s">
        <v>11</v>
      </c>
      <c r="K1387" s="7" t="s">
        <v>12</v>
      </c>
    </row>
    <row r="1388" spans="1:11" x14ac:dyDescent="0.25">
      <c r="A1388" s="5">
        <v>1</v>
      </c>
      <c r="B1388" s="6">
        <f>B1373</f>
        <v>4</v>
      </c>
      <c r="C1388" s="6">
        <f>C1373</f>
        <v>3</v>
      </c>
      <c r="D1388" s="8">
        <f>B1388*B1384+C1388*C1384+D1384</f>
        <v>0.41333333333332845</v>
      </c>
      <c r="E1388" s="6">
        <f>IF(D1388&gt;=0,$F$1,$E$1)</f>
        <v>1</v>
      </c>
      <c r="F1388" s="6">
        <f>$F$8</f>
        <v>1</v>
      </c>
      <c r="G1388" s="20" t="str">
        <f>IF(E1388&gt;0,"A","B")</f>
        <v>A</v>
      </c>
      <c r="H1388" s="20" t="str">
        <f>IF(F1388&gt;0,"A","B")</f>
        <v>A</v>
      </c>
      <c r="I1388" s="8">
        <f t="shared" ref="I1388:I1393" si="1007">F1388-E1388</f>
        <v>0</v>
      </c>
      <c r="J1388" s="8">
        <f t="shared" ref="J1388:J1393" si="1008">$C$1*I1388*B1388</f>
        <v>0</v>
      </c>
      <c r="K1388" s="9">
        <f t="shared" ref="K1388:K1393" si="1009">$C$1*I1388*C1388</f>
        <v>0</v>
      </c>
    </row>
    <row r="1389" spans="1:11" x14ac:dyDescent="0.25">
      <c r="A1389" s="5">
        <v>2</v>
      </c>
      <c r="B1389" s="6">
        <f t="shared" ref="B1389:C1389" si="1010">B1374</f>
        <v>1</v>
      </c>
      <c r="C1389" s="6">
        <f t="shared" si="1010"/>
        <v>1</v>
      </c>
      <c r="D1389" s="8">
        <f>B1389*B1384+C1389*C1384+D1384</f>
        <v>-0.5733333333333348</v>
      </c>
      <c r="E1389" s="6">
        <f t="shared" ref="E1389:E1393" si="1011">IF(D1389&gt;=0,$F$1,$E$1)</f>
        <v>-1</v>
      </c>
      <c r="F1389" s="6">
        <f>$F$9</f>
        <v>-1</v>
      </c>
      <c r="G1389" s="20" t="str">
        <f t="shared" ref="G1389:G1393" si="1012">IF(E1389&gt;0,"A","B")</f>
        <v>B</v>
      </c>
      <c r="H1389" s="20" t="str">
        <f t="shared" ref="H1389:H1393" si="1013">IF(F1389&gt;0,"A","B")</f>
        <v>B</v>
      </c>
      <c r="I1389" s="8">
        <f t="shared" si="1007"/>
        <v>0</v>
      </c>
      <c r="J1389" s="8">
        <f t="shared" si="1008"/>
        <v>0</v>
      </c>
      <c r="K1389" s="9">
        <f t="shared" si="1009"/>
        <v>0</v>
      </c>
    </row>
    <row r="1390" spans="1:11" x14ac:dyDescent="0.25">
      <c r="A1390" s="5">
        <v>3</v>
      </c>
      <c r="B1390" s="6">
        <f t="shared" ref="B1390:C1390" si="1014">B1375</f>
        <v>2</v>
      </c>
      <c r="C1390" s="6">
        <f t="shared" si="1014"/>
        <v>2</v>
      </c>
      <c r="D1390" s="8">
        <f>B1390*B1384+C1390*C1384+D1384</f>
        <v>-0.14666666666666961</v>
      </c>
      <c r="E1390" s="6">
        <f t="shared" si="1011"/>
        <v>-1</v>
      </c>
      <c r="F1390" s="6">
        <f>$F$10</f>
        <v>-1</v>
      </c>
      <c r="G1390" s="20" t="str">
        <f t="shared" si="1012"/>
        <v>B</v>
      </c>
      <c r="H1390" s="20" t="str">
        <f t="shared" si="1013"/>
        <v>B</v>
      </c>
      <c r="I1390" s="8">
        <f t="shared" si="1007"/>
        <v>0</v>
      </c>
      <c r="J1390" s="8">
        <f t="shared" si="1008"/>
        <v>0</v>
      </c>
      <c r="K1390" s="9">
        <f t="shared" si="1009"/>
        <v>0</v>
      </c>
    </row>
    <row r="1391" spans="1:11" x14ac:dyDescent="0.25">
      <c r="A1391" s="5">
        <v>4</v>
      </c>
      <c r="B1391" s="6">
        <f t="shared" ref="B1391:C1391" si="1015">B1376</f>
        <v>2</v>
      </c>
      <c r="C1391" s="6">
        <f t="shared" si="1015"/>
        <v>3</v>
      </c>
      <c r="D1391" s="8">
        <f>B1391*B1384+C1391*C1384+D1384</f>
        <v>0.14666666666666273</v>
      </c>
      <c r="E1391" s="6">
        <f t="shared" si="1011"/>
        <v>1</v>
      </c>
      <c r="F1391" s="6">
        <f>$F$11</f>
        <v>1</v>
      </c>
      <c r="G1391" s="20" t="str">
        <f t="shared" si="1012"/>
        <v>A</v>
      </c>
      <c r="H1391" s="20" t="str">
        <f t="shared" si="1013"/>
        <v>A</v>
      </c>
      <c r="I1391" s="8">
        <f t="shared" si="1007"/>
        <v>0</v>
      </c>
      <c r="J1391" s="8">
        <f t="shared" si="1008"/>
        <v>0</v>
      </c>
      <c r="K1391" s="9">
        <f t="shared" si="1009"/>
        <v>0</v>
      </c>
    </row>
    <row r="1392" spans="1:11" x14ac:dyDescent="0.25">
      <c r="A1392" s="5">
        <v>5</v>
      </c>
      <c r="B1392" s="6">
        <f t="shared" ref="B1392:C1392" si="1016">B1377</f>
        <v>5</v>
      </c>
      <c r="C1392" s="6">
        <f t="shared" si="1016"/>
        <v>3</v>
      </c>
      <c r="D1392" s="8">
        <f>B1392*B1384+C1392*C1384+D1384</f>
        <v>0.54666666666666131</v>
      </c>
      <c r="E1392" s="6">
        <f t="shared" si="1011"/>
        <v>1</v>
      </c>
      <c r="F1392" s="6">
        <f>$F$12</f>
        <v>1</v>
      </c>
      <c r="G1392" s="20" t="str">
        <f t="shared" si="1012"/>
        <v>A</v>
      </c>
      <c r="H1392" s="20" t="str">
        <f t="shared" si="1013"/>
        <v>A</v>
      </c>
      <c r="I1392" s="8">
        <f t="shared" si="1007"/>
        <v>0</v>
      </c>
      <c r="J1392" s="8">
        <f t="shared" si="1008"/>
        <v>0</v>
      </c>
      <c r="K1392" s="9">
        <f t="shared" si="1009"/>
        <v>0</v>
      </c>
    </row>
    <row r="1393" spans="1:11" x14ac:dyDescent="0.25">
      <c r="A1393" s="5">
        <v>6</v>
      </c>
      <c r="B1393" s="6">
        <f t="shared" ref="B1393:C1393" si="1017">B1378</f>
        <v>3</v>
      </c>
      <c r="C1393" s="6">
        <f t="shared" si="1017"/>
        <v>2</v>
      </c>
      <c r="D1393" s="8">
        <f>B1393*B1384+C1393*C1384+D1384</f>
        <v>-1.333333333333675E-2</v>
      </c>
      <c r="E1393" s="6">
        <f t="shared" si="1011"/>
        <v>-1</v>
      </c>
      <c r="F1393" s="6">
        <f>$F$13</f>
        <v>-1</v>
      </c>
      <c r="G1393" s="20" t="str">
        <f t="shared" si="1012"/>
        <v>B</v>
      </c>
      <c r="H1393" s="20" t="str">
        <f t="shared" si="1013"/>
        <v>B</v>
      </c>
      <c r="I1393" s="8">
        <f t="shared" si="1007"/>
        <v>0</v>
      </c>
      <c r="J1393" s="8">
        <f t="shared" si="1008"/>
        <v>0</v>
      </c>
      <c r="K1393" s="9">
        <f t="shared" si="1009"/>
        <v>0</v>
      </c>
    </row>
    <row r="1394" spans="1:11" x14ac:dyDescent="0.25">
      <c r="A1394" s="5"/>
      <c r="B1394" s="6"/>
      <c r="C1394" s="6"/>
      <c r="D1394" s="6"/>
      <c r="E1394" s="6"/>
      <c r="F1394" s="6"/>
      <c r="G1394" s="20" t="s">
        <v>8</v>
      </c>
      <c r="H1394" s="20"/>
      <c r="I1394" s="8">
        <f>SUM(I1388:I1393)</f>
        <v>0</v>
      </c>
      <c r="J1394" s="8">
        <f>AVERAGE(J1388:J1393)</f>
        <v>0</v>
      </c>
      <c r="K1394" s="9">
        <f>AVERAGE(K1388:K1393)</f>
        <v>0</v>
      </c>
    </row>
    <row r="1395" spans="1:11" x14ac:dyDescent="0.25">
      <c r="A1395" s="5"/>
      <c r="B1395" s="6"/>
      <c r="C1395" s="6"/>
      <c r="D1395" s="6"/>
      <c r="E1395" s="6"/>
      <c r="F1395" s="6"/>
      <c r="G1395" s="20" t="s">
        <v>9</v>
      </c>
      <c r="H1395" s="20"/>
      <c r="I1395" s="8">
        <f>SUMSQ(I1388:I1393)</f>
        <v>0</v>
      </c>
      <c r="J1395" s="10"/>
      <c r="K1395" s="15"/>
    </row>
    <row r="1396" spans="1:11" x14ac:dyDescent="0.25">
      <c r="A1396" s="11"/>
      <c r="B1396" s="12"/>
      <c r="C1396" s="12"/>
      <c r="D1396" s="12"/>
      <c r="E1396" s="12"/>
      <c r="F1396" s="12"/>
      <c r="G1396" s="21"/>
      <c r="H1396" s="21"/>
      <c r="I1396" s="18"/>
      <c r="J1396" s="13"/>
      <c r="K1396" s="16"/>
    </row>
    <row r="1397" spans="1:11" x14ac:dyDescent="0.25">
      <c r="A1397" s="2" t="s">
        <v>13</v>
      </c>
      <c r="B1397" s="3">
        <f>B1382+1</f>
        <v>94</v>
      </c>
      <c r="C1397" s="3"/>
      <c r="D1397" s="3"/>
      <c r="E1397" s="3"/>
      <c r="F1397" s="3"/>
      <c r="G1397" s="19"/>
      <c r="H1397" s="19"/>
      <c r="I1397" s="17"/>
      <c r="J1397" s="3"/>
      <c r="K1397" s="4"/>
    </row>
    <row r="1398" spans="1:11" x14ac:dyDescent="0.25">
      <c r="A1398" s="5"/>
      <c r="B1398" s="6" t="s">
        <v>4</v>
      </c>
      <c r="C1398" s="6" t="s">
        <v>5</v>
      </c>
      <c r="D1398" s="6" t="s">
        <v>6</v>
      </c>
      <c r="E1398" s="6"/>
      <c r="F1398" s="6"/>
      <c r="G1398" s="20"/>
      <c r="H1398" s="20"/>
      <c r="I1398" s="8"/>
      <c r="J1398" s="6"/>
      <c r="K1398" s="7"/>
    </row>
    <row r="1399" spans="1:11" x14ac:dyDescent="0.25">
      <c r="A1399" s="5">
        <v>1</v>
      </c>
      <c r="B1399" s="14">
        <f>B1384+J1394</f>
        <v>0.13333333333333286</v>
      </c>
      <c r="C1399" s="14">
        <f>C1384+K1394</f>
        <v>0.29333333333333234</v>
      </c>
      <c r="D1399" s="6">
        <f>D1384</f>
        <v>-1</v>
      </c>
      <c r="E1399" s="6"/>
      <c r="F1399" s="6"/>
      <c r="G1399" s="20"/>
      <c r="H1399" s="20"/>
      <c r="I1399" s="8"/>
      <c r="J1399" s="6"/>
      <c r="K1399" s="7"/>
    </row>
    <row r="1400" spans="1:11" x14ac:dyDescent="0.25">
      <c r="A1400" s="5"/>
      <c r="B1400" s="6"/>
      <c r="C1400" s="6"/>
      <c r="D1400" s="6"/>
      <c r="E1400" s="6"/>
      <c r="F1400" s="6"/>
      <c r="G1400" s="20"/>
      <c r="H1400" s="20"/>
      <c r="I1400" s="8"/>
      <c r="J1400" s="6"/>
      <c r="K1400" s="7"/>
    </row>
    <row r="1401" spans="1:11" x14ac:dyDescent="0.25">
      <c r="A1401" s="5"/>
      <c r="B1401" s="6"/>
      <c r="C1401" s="6"/>
      <c r="D1401" s="6"/>
      <c r="E1401" s="6"/>
      <c r="F1401" s="6"/>
      <c r="G1401" s="20"/>
      <c r="H1401" s="20"/>
      <c r="I1401" s="8"/>
      <c r="J1401" s="6"/>
      <c r="K1401" s="7"/>
    </row>
    <row r="1402" spans="1:11" x14ac:dyDescent="0.25">
      <c r="A1402" s="5" t="s">
        <v>10</v>
      </c>
      <c r="B1402" s="6" t="s">
        <v>2</v>
      </c>
      <c r="C1402" s="6" t="s">
        <v>3</v>
      </c>
      <c r="D1402" s="6" t="s">
        <v>0</v>
      </c>
      <c r="E1402" s="6" t="s">
        <v>15</v>
      </c>
      <c r="F1402" s="6" t="s">
        <v>1</v>
      </c>
      <c r="G1402" s="20" t="s">
        <v>17</v>
      </c>
      <c r="H1402" s="20" t="s">
        <v>16</v>
      </c>
      <c r="I1402" s="8" t="s">
        <v>7</v>
      </c>
      <c r="J1402" s="6" t="s">
        <v>11</v>
      </c>
      <c r="K1402" s="7" t="s">
        <v>12</v>
      </c>
    </row>
    <row r="1403" spans="1:11" x14ac:dyDescent="0.25">
      <c r="A1403" s="5">
        <v>1</v>
      </c>
      <c r="B1403" s="6">
        <f>B1388</f>
        <v>4</v>
      </c>
      <c r="C1403" s="6">
        <f>C1388</f>
        <v>3</v>
      </c>
      <c r="D1403" s="8">
        <f>B1403*B1399+C1403*C1399+D1399</f>
        <v>0.41333333333332845</v>
      </c>
      <c r="E1403" s="6">
        <f>IF(D1403&gt;=0,$F$1,$E$1)</f>
        <v>1</v>
      </c>
      <c r="F1403" s="6">
        <f>$F$8</f>
        <v>1</v>
      </c>
      <c r="G1403" s="20" t="str">
        <f>IF(E1403&gt;0,"A","B")</f>
        <v>A</v>
      </c>
      <c r="H1403" s="20" t="str">
        <f>IF(F1403&gt;0,"A","B")</f>
        <v>A</v>
      </c>
      <c r="I1403" s="8">
        <f t="shared" ref="I1403:I1408" si="1018">F1403-E1403</f>
        <v>0</v>
      </c>
      <c r="J1403" s="8">
        <f t="shared" ref="J1403:J1408" si="1019">$C$1*I1403*B1403</f>
        <v>0</v>
      </c>
      <c r="K1403" s="9">
        <f t="shared" ref="K1403:K1408" si="1020">$C$1*I1403*C1403</f>
        <v>0</v>
      </c>
    </row>
    <row r="1404" spans="1:11" x14ac:dyDescent="0.25">
      <c r="A1404" s="5">
        <v>2</v>
      </c>
      <c r="B1404" s="6">
        <f t="shared" ref="B1404:C1404" si="1021">B1389</f>
        <v>1</v>
      </c>
      <c r="C1404" s="6">
        <f t="shared" si="1021"/>
        <v>1</v>
      </c>
      <c r="D1404" s="8">
        <f>B1404*B1399+C1404*C1399+D1399</f>
        <v>-0.5733333333333348</v>
      </c>
      <c r="E1404" s="6">
        <f t="shared" ref="E1404:E1408" si="1022">IF(D1404&gt;=0,$F$1,$E$1)</f>
        <v>-1</v>
      </c>
      <c r="F1404" s="6">
        <f>$F$9</f>
        <v>-1</v>
      </c>
      <c r="G1404" s="20" t="str">
        <f t="shared" ref="G1404:G1408" si="1023">IF(E1404&gt;0,"A","B")</f>
        <v>B</v>
      </c>
      <c r="H1404" s="20" t="str">
        <f t="shared" ref="H1404:H1408" si="1024">IF(F1404&gt;0,"A","B")</f>
        <v>B</v>
      </c>
      <c r="I1404" s="8">
        <f t="shared" si="1018"/>
        <v>0</v>
      </c>
      <c r="J1404" s="8">
        <f t="shared" si="1019"/>
        <v>0</v>
      </c>
      <c r="K1404" s="9">
        <f t="shared" si="1020"/>
        <v>0</v>
      </c>
    </row>
    <row r="1405" spans="1:11" x14ac:dyDescent="0.25">
      <c r="A1405" s="5">
        <v>3</v>
      </c>
      <c r="B1405" s="6">
        <f t="shared" ref="B1405:C1405" si="1025">B1390</f>
        <v>2</v>
      </c>
      <c r="C1405" s="6">
        <f t="shared" si="1025"/>
        <v>2</v>
      </c>
      <c r="D1405" s="8">
        <f>B1405*B1399+C1405*C1399+D1399</f>
        <v>-0.14666666666666961</v>
      </c>
      <c r="E1405" s="6">
        <f t="shared" si="1022"/>
        <v>-1</v>
      </c>
      <c r="F1405" s="6">
        <f>$F$10</f>
        <v>-1</v>
      </c>
      <c r="G1405" s="20" t="str">
        <f t="shared" si="1023"/>
        <v>B</v>
      </c>
      <c r="H1405" s="20" t="str">
        <f t="shared" si="1024"/>
        <v>B</v>
      </c>
      <c r="I1405" s="8">
        <f t="shared" si="1018"/>
        <v>0</v>
      </c>
      <c r="J1405" s="8">
        <f t="shared" si="1019"/>
        <v>0</v>
      </c>
      <c r="K1405" s="9">
        <f t="shared" si="1020"/>
        <v>0</v>
      </c>
    </row>
    <row r="1406" spans="1:11" x14ac:dyDescent="0.25">
      <c r="A1406" s="5">
        <v>4</v>
      </c>
      <c r="B1406" s="6">
        <f t="shared" ref="B1406:C1406" si="1026">B1391</f>
        <v>2</v>
      </c>
      <c r="C1406" s="6">
        <f t="shared" si="1026"/>
        <v>3</v>
      </c>
      <c r="D1406" s="8">
        <f>B1406*B1399+C1406*C1399+D1399</f>
        <v>0.14666666666666273</v>
      </c>
      <c r="E1406" s="6">
        <f t="shared" si="1022"/>
        <v>1</v>
      </c>
      <c r="F1406" s="6">
        <f>$F$11</f>
        <v>1</v>
      </c>
      <c r="G1406" s="20" t="str">
        <f t="shared" si="1023"/>
        <v>A</v>
      </c>
      <c r="H1406" s="20" t="str">
        <f t="shared" si="1024"/>
        <v>A</v>
      </c>
      <c r="I1406" s="8">
        <f t="shared" si="1018"/>
        <v>0</v>
      </c>
      <c r="J1406" s="8">
        <f t="shared" si="1019"/>
        <v>0</v>
      </c>
      <c r="K1406" s="9">
        <f t="shared" si="1020"/>
        <v>0</v>
      </c>
    </row>
    <row r="1407" spans="1:11" x14ac:dyDescent="0.25">
      <c r="A1407" s="5">
        <v>5</v>
      </c>
      <c r="B1407" s="6">
        <f t="shared" ref="B1407:C1407" si="1027">B1392</f>
        <v>5</v>
      </c>
      <c r="C1407" s="6">
        <f t="shared" si="1027"/>
        <v>3</v>
      </c>
      <c r="D1407" s="8">
        <f>B1407*B1399+C1407*C1399+D1399</f>
        <v>0.54666666666666131</v>
      </c>
      <c r="E1407" s="6">
        <f t="shared" si="1022"/>
        <v>1</v>
      </c>
      <c r="F1407" s="6">
        <f>$F$12</f>
        <v>1</v>
      </c>
      <c r="G1407" s="20" t="str">
        <f t="shared" si="1023"/>
        <v>A</v>
      </c>
      <c r="H1407" s="20" t="str">
        <f t="shared" si="1024"/>
        <v>A</v>
      </c>
      <c r="I1407" s="8">
        <f t="shared" si="1018"/>
        <v>0</v>
      </c>
      <c r="J1407" s="8">
        <f t="shared" si="1019"/>
        <v>0</v>
      </c>
      <c r="K1407" s="9">
        <f t="shared" si="1020"/>
        <v>0</v>
      </c>
    </row>
    <row r="1408" spans="1:11" x14ac:dyDescent="0.25">
      <c r="A1408" s="5">
        <v>6</v>
      </c>
      <c r="B1408" s="6">
        <f t="shared" ref="B1408:C1408" si="1028">B1393</f>
        <v>3</v>
      </c>
      <c r="C1408" s="6">
        <f t="shared" si="1028"/>
        <v>2</v>
      </c>
      <c r="D1408" s="8">
        <f>B1408*B1399+C1408*C1399+D1399</f>
        <v>-1.333333333333675E-2</v>
      </c>
      <c r="E1408" s="6">
        <f t="shared" si="1022"/>
        <v>-1</v>
      </c>
      <c r="F1408" s="6">
        <f>$F$13</f>
        <v>-1</v>
      </c>
      <c r="G1408" s="20" t="str">
        <f t="shared" si="1023"/>
        <v>B</v>
      </c>
      <c r="H1408" s="20" t="str">
        <f t="shared" si="1024"/>
        <v>B</v>
      </c>
      <c r="I1408" s="8">
        <f t="shared" si="1018"/>
        <v>0</v>
      </c>
      <c r="J1408" s="8">
        <f t="shared" si="1019"/>
        <v>0</v>
      </c>
      <c r="K1408" s="9">
        <f t="shared" si="1020"/>
        <v>0</v>
      </c>
    </row>
    <row r="1409" spans="1:11" x14ac:dyDescent="0.25">
      <c r="A1409" s="5"/>
      <c r="B1409" s="6"/>
      <c r="C1409" s="6"/>
      <c r="D1409" s="6"/>
      <c r="E1409" s="6"/>
      <c r="F1409" s="6"/>
      <c r="G1409" s="20" t="s">
        <v>8</v>
      </c>
      <c r="H1409" s="20"/>
      <c r="I1409" s="8">
        <f>SUM(I1403:I1408)</f>
        <v>0</v>
      </c>
      <c r="J1409" s="8">
        <f>AVERAGE(J1403:J1408)</f>
        <v>0</v>
      </c>
      <c r="K1409" s="9">
        <f>AVERAGE(K1403:K1408)</f>
        <v>0</v>
      </c>
    </row>
    <row r="1410" spans="1:11" x14ac:dyDescent="0.25">
      <c r="A1410" s="5"/>
      <c r="B1410" s="6"/>
      <c r="C1410" s="6"/>
      <c r="D1410" s="6"/>
      <c r="E1410" s="6"/>
      <c r="F1410" s="6"/>
      <c r="G1410" s="20" t="s">
        <v>9</v>
      </c>
      <c r="H1410" s="20"/>
      <c r="I1410" s="8">
        <f>SUMSQ(I1403:I1408)</f>
        <v>0</v>
      </c>
      <c r="J1410" s="10"/>
      <c r="K1410" s="15"/>
    </row>
    <row r="1411" spans="1:11" x14ac:dyDescent="0.25">
      <c r="A1411" s="11"/>
      <c r="B1411" s="12"/>
      <c r="C1411" s="12"/>
      <c r="D1411" s="12"/>
      <c r="E1411" s="12"/>
      <c r="F1411" s="12"/>
      <c r="G1411" s="21"/>
      <c r="H1411" s="21"/>
      <c r="I1411" s="18"/>
      <c r="J1411" s="13"/>
      <c r="K1411" s="16"/>
    </row>
    <row r="1412" spans="1:11" x14ac:dyDescent="0.25">
      <c r="A1412" s="2" t="s">
        <v>13</v>
      </c>
      <c r="B1412" s="3">
        <f>B1397+1</f>
        <v>95</v>
      </c>
      <c r="C1412" s="3"/>
      <c r="D1412" s="3"/>
      <c r="E1412" s="3"/>
      <c r="F1412" s="3"/>
      <c r="G1412" s="19"/>
      <c r="H1412" s="19"/>
      <c r="I1412" s="17"/>
      <c r="J1412" s="3"/>
      <c r="K1412" s="4"/>
    </row>
    <row r="1413" spans="1:11" x14ac:dyDescent="0.25">
      <c r="A1413" s="5"/>
      <c r="B1413" s="6" t="s">
        <v>4</v>
      </c>
      <c r="C1413" s="6" t="s">
        <v>5</v>
      </c>
      <c r="D1413" s="6" t="s">
        <v>6</v>
      </c>
      <c r="E1413" s="6"/>
      <c r="F1413" s="6"/>
      <c r="G1413" s="20"/>
      <c r="H1413" s="20"/>
      <c r="I1413" s="8"/>
      <c r="J1413" s="6"/>
      <c r="K1413" s="7"/>
    </row>
    <row r="1414" spans="1:11" x14ac:dyDescent="0.25">
      <c r="A1414" s="5">
        <v>1</v>
      </c>
      <c r="B1414" s="14">
        <f>B1399+J1409</f>
        <v>0.13333333333333286</v>
      </c>
      <c r="C1414" s="14">
        <f>C1399+K1409</f>
        <v>0.29333333333333234</v>
      </c>
      <c r="D1414" s="6">
        <f>D1399</f>
        <v>-1</v>
      </c>
      <c r="E1414" s="6"/>
      <c r="F1414" s="6"/>
      <c r="G1414" s="20"/>
      <c r="H1414" s="20"/>
      <c r="I1414" s="8"/>
      <c r="J1414" s="6"/>
      <c r="K1414" s="7"/>
    </row>
    <row r="1415" spans="1:11" x14ac:dyDescent="0.25">
      <c r="A1415" s="5"/>
      <c r="B1415" s="6"/>
      <c r="C1415" s="6"/>
      <c r="D1415" s="6"/>
      <c r="E1415" s="6"/>
      <c r="F1415" s="6"/>
      <c r="G1415" s="20"/>
      <c r="H1415" s="20"/>
      <c r="I1415" s="8"/>
      <c r="J1415" s="6"/>
      <c r="K1415" s="7"/>
    </row>
    <row r="1416" spans="1:11" x14ac:dyDescent="0.25">
      <c r="A1416" s="5"/>
      <c r="B1416" s="6"/>
      <c r="C1416" s="6"/>
      <c r="D1416" s="6"/>
      <c r="E1416" s="6"/>
      <c r="F1416" s="6"/>
      <c r="G1416" s="20"/>
      <c r="H1416" s="20"/>
      <c r="I1416" s="8"/>
      <c r="J1416" s="6"/>
      <c r="K1416" s="7"/>
    </row>
    <row r="1417" spans="1:11" x14ac:dyDescent="0.25">
      <c r="A1417" s="5" t="s">
        <v>10</v>
      </c>
      <c r="B1417" s="6" t="s">
        <v>2</v>
      </c>
      <c r="C1417" s="6" t="s">
        <v>3</v>
      </c>
      <c r="D1417" s="6" t="s">
        <v>0</v>
      </c>
      <c r="E1417" s="6" t="s">
        <v>15</v>
      </c>
      <c r="F1417" s="6" t="s">
        <v>1</v>
      </c>
      <c r="G1417" s="20" t="s">
        <v>17</v>
      </c>
      <c r="H1417" s="20" t="s">
        <v>16</v>
      </c>
      <c r="I1417" s="8" t="s">
        <v>7</v>
      </c>
      <c r="J1417" s="6" t="s">
        <v>11</v>
      </c>
      <c r="K1417" s="7" t="s">
        <v>12</v>
      </c>
    </row>
    <row r="1418" spans="1:11" x14ac:dyDescent="0.25">
      <c r="A1418" s="5">
        <v>1</v>
      </c>
      <c r="B1418" s="6">
        <f>B1403</f>
        <v>4</v>
      </c>
      <c r="C1418" s="6">
        <f>C1403</f>
        <v>3</v>
      </c>
      <c r="D1418" s="8">
        <f>B1418*B1414+C1418*C1414+D1414</f>
        <v>0.41333333333332845</v>
      </c>
      <c r="E1418" s="6">
        <f>IF(D1418&gt;=0,$F$1,$E$1)</f>
        <v>1</v>
      </c>
      <c r="F1418" s="6">
        <f>$F$8</f>
        <v>1</v>
      </c>
      <c r="G1418" s="20" t="str">
        <f>IF(E1418&gt;0,"A","B")</f>
        <v>A</v>
      </c>
      <c r="H1418" s="20" t="str">
        <f>IF(F1418&gt;0,"A","B")</f>
        <v>A</v>
      </c>
      <c r="I1418" s="8">
        <f t="shared" ref="I1418:I1423" si="1029">F1418-E1418</f>
        <v>0</v>
      </c>
      <c r="J1418" s="8">
        <f t="shared" ref="J1418:J1423" si="1030">$C$1*I1418*B1418</f>
        <v>0</v>
      </c>
      <c r="K1418" s="9">
        <f t="shared" ref="K1418:K1423" si="1031">$C$1*I1418*C1418</f>
        <v>0</v>
      </c>
    </row>
    <row r="1419" spans="1:11" x14ac:dyDescent="0.25">
      <c r="A1419" s="5">
        <v>2</v>
      </c>
      <c r="B1419" s="6">
        <f t="shared" ref="B1419:C1419" si="1032">B1404</f>
        <v>1</v>
      </c>
      <c r="C1419" s="6">
        <f t="shared" si="1032"/>
        <v>1</v>
      </c>
      <c r="D1419" s="8">
        <f>B1419*B1414+C1419*C1414+D1414</f>
        <v>-0.5733333333333348</v>
      </c>
      <c r="E1419" s="6">
        <f t="shared" ref="E1419:E1423" si="1033">IF(D1419&gt;=0,$F$1,$E$1)</f>
        <v>-1</v>
      </c>
      <c r="F1419" s="6">
        <f>$F$9</f>
        <v>-1</v>
      </c>
      <c r="G1419" s="20" t="str">
        <f t="shared" ref="G1419:G1423" si="1034">IF(E1419&gt;0,"A","B")</f>
        <v>B</v>
      </c>
      <c r="H1419" s="20" t="str">
        <f t="shared" ref="H1419:H1423" si="1035">IF(F1419&gt;0,"A","B")</f>
        <v>B</v>
      </c>
      <c r="I1419" s="8">
        <f t="shared" si="1029"/>
        <v>0</v>
      </c>
      <c r="J1419" s="8">
        <f t="shared" si="1030"/>
        <v>0</v>
      </c>
      <c r="K1419" s="9">
        <f t="shared" si="1031"/>
        <v>0</v>
      </c>
    </row>
    <row r="1420" spans="1:11" x14ac:dyDescent="0.25">
      <c r="A1420" s="5">
        <v>3</v>
      </c>
      <c r="B1420" s="6">
        <f t="shared" ref="B1420:C1420" si="1036">B1405</f>
        <v>2</v>
      </c>
      <c r="C1420" s="6">
        <f t="shared" si="1036"/>
        <v>2</v>
      </c>
      <c r="D1420" s="8">
        <f>B1420*B1414+C1420*C1414+D1414</f>
        <v>-0.14666666666666961</v>
      </c>
      <c r="E1420" s="6">
        <f t="shared" si="1033"/>
        <v>-1</v>
      </c>
      <c r="F1420" s="6">
        <f>$F$10</f>
        <v>-1</v>
      </c>
      <c r="G1420" s="20" t="str">
        <f t="shared" si="1034"/>
        <v>B</v>
      </c>
      <c r="H1420" s="20" t="str">
        <f t="shared" si="1035"/>
        <v>B</v>
      </c>
      <c r="I1420" s="8">
        <f t="shared" si="1029"/>
        <v>0</v>
      </c>
      <c r="J1420" s="8">
        <f t="shared" si="1030"/>
        <v>0</v>
      </c>
      <c r="K1420" s="9">
        <f t="shared" si="1031"/>
        <v>0</v>
      </c>
    </row>
    <row r="1421" spans="1:11" x14ac:dyDescent="0.25">
      <c r="A1421" s="5">
        <v>4</v>
      </c>
      <c r="B1421" s="6">
        <f t="shared" ref="B1421:C1421" si="1037">B1406</f>
        <v>2</v>
      </c>
      <c r="C1421" s="6">
        <f t="shared" si="1037"/>
        <v>3</v>
      </c>
      <c r="D1421" s="8">
        <f>B1421*B1414+C1421*C1414+D1414</f>
        <v>0.14666666666666273</v>
      </c>
      <c r="E1421" s="6">
        <f t="shared" si="1033"/>
        <v>1</v>
      </c>
      <c r="F1421" s="6">
        <f>$F$11</f>
        <v>1</v>
      </c>
      <c r="G1421" s="20" t="str">
        <f t="shared" si="1034"/>
        <v>A</v>
      </c>
      <c r="H1421" s="20" t="str">
        <f t="shared" si="1035"/>
        <v>A</v>
      </c>
      <c r="I1421" s="8">
        <f t="shared" si="1029"/>
        <v>0</v>
      </c>
      <c r="J1421" s="8">
        <f t="shared" si="1030"/>
        <v>0</v>
      </c>
      <c r="K1421" s="9">
        <f t="shared" si="1031"/>
        <v>0</v>
      </c>
    </row>
    <row r="1422" spans="1:11" x14ac:dyDescent="0.25">
      <c r="A1422" s="5">
        <v>5</v>
      </c>
      <c r="B1422" s="6">
        <f t="shared" ref="B1422:C1422" si="1038">B1407</f>
        <v>5</v>
      </c>
      <c r="C1422" s="6">
        <f t="shared" si="1038"/>
        <v>3</v>
      </c>
      <c r="D1422" s="8">
        <f>B1422*B1414+C1422*C1414+D1414</f>
        <v>0.54666666666666131</v>
      </c>
      <c r="E1422" s="6">
        <f t="shared" si="1033"/>
        <v>1</v>
      </c>
      <c r="F1422" s="6">
        <f>$F$12</f>
        <v>1</v>
      </c>
      <c r="G1422" s="20" t="str">
        <f t="shared" si="1034"/>
        <v>A</v>
      </c>
      <c r="H1422" s="20" t="str">
        <f t="shared" si="1035"/>
        <v>A</v>
      </c>
      <c r="I1422" s="8">
        <f t="shared" si="1029"/>
        <v>0</v>
      </c>
      <c r="J1422" s="8">
        <f t="shared" si="1030"/>
        <v>0</v>
      </c>
      <c r="K1422" s="9">
        <f t="shared" si="1031"/>
        <v>0</v>
      </c>
    </row>
    <row r="1423" spans="1:11" x14ac:dyDescent="0.25">
      <c r="A1423" s="5">
        <v>6</v>
      </c>
      <c r="B1423" s="6">
        <f t="shared" ref="B1423:C1423" si="1039">B1408</f>
        <v>3</v>
      </c>
      <c r="C1423" s="6">
        <f t="shared" si="1039"/>
        <v>2</v>
      </c>
      <c r="D1423" s="8">
        <f>B1423*B1414+C1423*C1414+D1414</f>
        <v>-1.333333333333675E-2</v>
      </c>
      <c r="E1423" s="6">
        <f t="shared" si="1033"/>
        <v>-1</v>
      </c>
      <c r="F1423" s="6">
        <f>$F$13</f>
        <v>-1</v>
      </c>
      <c r="G1423" s="20" t="str">
        <f t="shared" si="1034"/>
        <v>B</v>
      </c>
      <c r="H1423" s="20" t="str">
        <f t="shared" si="1035"/>
        <v>B</v>
      </c>
      <c r="I1423" s="8">
        <f t="shared" si="1029"/>
        <v>0</v>
      </c>
      <c r="J1423" s="8">
        <f t="shared" si="1030"/>
        <v>0</v>
      </c>
      <c r="K1423" s="9">
        <f t="shared" si="1031"/>
        <v>0</v>
      </c>
    </row>
    <row r="1424" spans="1:11" x14ac:dyDescent="0.25">
      <c r="A1424" s="5"/>
      <c r="B1424" s="6"/>
      <c r="C1424" s="6"/>
      <c r="D1424" s="6"/>
      <c r="E1424" s="6"/>
      <c r="F1424" s="6"/>
      <c r="G1424" s="20" t="s">
        <v>8</v>
      </c>
      <c r="H1424" s="20"/>
      <c r="I1424" s="8">
        <f>SUM(I1418:I1423)</f>
        <v>0</v>
      </c>
      <c r="J1424" s="8">
        <f>AVERAGE(J1418:J1423)</f>
        <v>0</v>
      </c>
      <c r="K1424" s="9">
        <f>AVERAGE(K1418:K1423)</f>
        <v>0</v>
      </c>
    </row>
    <row r="1425" spans="1:11" x14ac:dyDescent="0.25">
      <c r="A1425" s="5"/>
      <c r="B1425" s="6"/>
      <c r="C1425" s="6"/>
      <c r="D1425" s="6"/>
      <c r="E1425" s="6"/>
      <c r="F1425" s="6"/>
      <c r="G1425" s="20" t="s">
        <v>9</v>
      </c>
      <c r="H1425" s="20"/>
      <c r="I1425" s="8">
        <f>SUMSQ(I1418:I1423)</f>
        <v>0</v>
      </c>
      <c r="J1425" s="10"/>
      <c r="K1425" s="15"/>
    </row>
    <row r="1426" spans="1:11" x14ac:dyDescent="0.25">
      <c r="A1426" s="11"/>
      <c r="B1426" s="12"/>
      <c r="C1426" s="12"/>
      <c r="D1426" s="12"/>
      <c r="E1426" s="12"/>
      <c r="F1426" s="12"/>
      <c r="G1426" s="21"/>
      <c r="H1426" s="21"/>
      <c r="I1426" s="18"/>
      <c r="J1426" s="13"/>
      <c r="K1426" s="16"/>
    </row>
    <row r="1427" spans="1:11" x14ac:dyDescent="0.25">
      <c r="A1427" s="2" t="s">
        <v>13</v>
      </c>
      <c r="B1427" s="3">
        <f>B1412+1</f>
        <v>96</v>
      </c>
      <c r="C1427" s="3"/>
      <c r="D1427" s="3"/>
      <c r="E1427" s="3"/>
      <c r="F1427" s="3"/>
      <c r="G1427" s="19"/>
      <c r="H1427" s="19"/>
      <c r="I1427" s="17"/>
      <c r="J1427" s="3"/>
      <c r="K1427" s="4"/>
    </row>
    <row r="1428" spans="1:11" x14ac:dyDescent="0.25">
      <c r="A1428" s="5"/>
      <c r="B1428" s="6" t="s">
        <v>4</v>
      </c>
      <c r="C1428" s="6" t="s">
        <v>5</v>
      </c>
      <c r="D1428" s="6" t="s">
        <v>6</v>
      </c>
      <c r="E1428" s="6"/>
      <c r="F1428" s="6"/>
      <c r="G1428" s="20"/>
      <c r="H1428" s="20"/>
      <c r="I1428" s="8"/>
      <c r="J1428" s="6"/>
      <c r="K1428" s="7"/>
    </row>
    <row r="1429" spans="1:11" x14ac:dyDescent="0.25">
      <c r="A1429" s="5">
        <v>1</v>
      </c>
      <c r="B1429" s="14">
        <f>B1414+J1424</f>
        <v>0.13333333333333286</v>
      </c>
      <c r="C1429" s="14">
        <f>C1414+K1424</f>
        <v>0.29333333333333234</v>
      </c>
      <c r="D1429" s="6">
        <f>D1414</f>
        <v>-1</v>
      </c>
      <c r="E1429" s="6"/>
      <c r="F1429" s="6"/>
      <c r="G1429" s="20"/>
      <c r="H1429" s="20"/>
      <c r="I1429" s="8"/>
      <c r="J1429" s="6"/>
      <c r="K1429" s="7"/>
    </row>
    <row r="1430" spans="1:11" x14ac:dyDescent="0.25">
      <c r="A1430" s="5"/>
      <c r="B1430" s="6"/>
      <c r="C1430" s="6"/>
      <c r="D1430" s="6"/>
      <c r="E1430" s="6"/>
      <c r="F1430" s="6"/>
      <c r="G1430" s="20"/>
      <c r="H1430" s="20"/>
      <c r="I1430" s="8"/>
      <c r="J1430" s="6"/>
      <c r="K1430" s="7"/>
    </row>
    <row r="1431" spans="1:11" x14ac:dyDescent="0.25">
      <c r="A1431" s="5"/>
      <c r="B1431" s="6"/>
      <c r="C1431" s="6"/>
      <c r="D1431" s="6"/>
      <c r="E1431" s="6"/>
      <c r="F1431" s="6"/>
      <c r="G1431" s="20"/>
      <c r="H1431" s="20"/>
      <c r="I1431" s="8"/>
      <c r="J1431" s="6"/>
      <c r="K1431" s="7"/>
    </row>
    <row r="1432" spans="1:11" x14ac:dyDescent="0.25">
      <c r="A1432" s="5" t="s">
        <v>10</v>
      </c>
      <c r="B1432" s="6" t="s">
        <v>2</v>
      </c>
      <c r="C1432" s="6" t="s">
        <v>3</v>
      </c>
      <c r="D1432" s="6" t="s">
        <v>0</v>
      </c>
      <c r="E1432" s="6" t="s">
        <v>15</v>
      </c>
      <c r="F1432" s="6" t="s">
        <v>1</v>
      </c>
      <c r="G1432" s="20" t="s">
        <v>17</v>
      </c>
      <c r="H1432" s="20" t="s">
        <v>16</v>
      </c>
      <c r="I1432" s="8" t="s">
        <v>7</v>
      </c>
      <c r="J1432" s="6" t="s">
        <v>11</v>
      </c>
      <c r="K1432" s="7" t="s">
        <v>12</v>
      </c>
    </row>
    <row r="1433" spans="1:11" x14ac:dyDescent="0.25">
      <c r="A1433" s="5">
        <v>1</v>
      </c>
      <c r="B1433" s="6">
        <f>B1418</f>
        <v>4</v>
      </c>
      <c r="C1433" s="6">
        <f>C1418</f>
        <v>3</v>
      </c>
      <c r="D1433" s="8">
        <f>B1433*B1429+C1433*C1429+D1429</f>
        <v>0.41333333333332845</v>
      </c>
      <c r="E1433" s="6">
        <f>IF(D1433&gt;=0,$F$1,$E$1)</f>
        <v>1</v>
      </c>
      <c r="F1433" s="6">
        <f>$F$8</f>
        <v>1</v>
      </c>
      <c r="G1433" s="20" t="str">
        <f>IF(E1433&gt;0,"A","B")</f>
        <v>A</v>
      </c>
      <c r="H1433" s="20" t="str">
        <f>IF(F1433&gt;0,"A","B")</f>
        <v>A</v>
      </c>
      <c r="I1433" s="8">
        <f t="shared" ref="I1433:I1438" si="1040">F1433-E1433</f>
        <v>0</v>
      </c>
      <c r="J1433" s="8">
        <f t="shared" ref="J1433:J1438" si="1041">$C$1*I1433*B1433</f>
        <v>0</v>
      </c>
      <c r="K1433" s="9">
        <f t="shared" ref="K1433:K1438" si="1042">$C$1*I1433*C1433</f>
        <v>0</v>
      </c>
    </row>
    <row r="1434" spans="1:11" x14ac:dyDescent="0.25">
      <c r="A1434" s="5">
        <v>2</v>
      </c>
      <c r="B1434" s="6">
        <f t="shared" ref="B1434:C1434" si="1043">B1419</f>
        <v>1</v>
      </c>
      <c r="C1434" s="6">
        <f t="shared" si="1043"/>
        <v>1</v>
      </c>
      <c r="D1434" s="8">
        <f>B1434*B1429+C1434*C1429+D1429</f>
        <v>-0.5733333333333348</v>
      </c>
      <c r="E1434" s="6">
        <f t="shared" ref="E1434:E1438" si="1044">IF(D1434&gt;=0,$F$1,$E$1)</f>
        <v>-1</v>
      </c>
      <c r="F1434" s="6">
        <f>$F$9</f>
        <v>-1</v>
      </c>
      <c r="G1434" s="20" t="str">
        <f t="shared" ref="G1434:G1438" si="1045">IF(E1434&gt;0,"A","B")</f>
        <v>B</v>
      </c>
      <c r="H1434" s="20" t="str">
        <f t="shared" ref="H1434:H1438" si="1046">IF(F1434&gt;0,"A","B")</f>
        <v>B</v>
      </c>
      <c r="I1434" s="8">
        <f t="shared" si="1040"/>
        <v>0</v>
      </c>
      <c r="J1434" s="8">
        <f t="shared" si="1041"/>
        <v>0</v>
      </c>
      <c r="K1434" s="9">
        <f t="shared" si="1042"/>
        <v>0</v>
      </c>
    </row>
    <row r="1435" spans="1:11" x14ac:dyDescent="0.25">
      <c r="A1435" s="5">
        <v>3</v>
      </c>
      <c r="B1435" s="6">
        <f t="shared" ref="B1435:C1435" si="1047">B1420</f>
        <v>2</v>
      </c>
      <c r="C1435" s="6">
        <f t="shared" si="1047"/>
        <v>2</v>
      </c>
      <c r="D1435" s="8">
        <f>B1435*B1429+C1435*C1429+D1429</f>
        <v>-0.14666666666666961</v>
      </c>
      <c r="E1435" s="6">
        <f t="shared" si="1044"/>
        <v>-1</v>
      </c>
      <c r="F1435" s="6">
        <f>$F$10</f>
        <v>-1</v>
      </c>
      <c r="G1435" s="20" t="str">
        <f t="shared" si="1045"/>
        <v>B</v>
      </c>
      <c r="H1435" s="20" t="str">
        <f t="shared" si="1046"/>
        <v>B</v>
      </c>
      <c r="I1435" s="8">
        <f t="shared" si="1040"/>
        <v>0</v>
      </c>
      <c r="J1435" s="8">
        <f t="shared" si="1041"/>
        <v>0</v>
      </c>
      <c r="K1435" s="9">
        <f t="shared" si="1042"/>
        <v>0</v>
      </c>
    </row>
    <row r="1436" spans="1:11" x14ac:dyDescent="0.25">
      <c r="A1436" s="5">
        <v>4</v>
      </c>
      <c r="B1436" s="6">
        <f t="shared" ref="B1436:C1436" si="1048">B1421</f>
        <v>2</v>
      </c>
      <c r="C1436" s="6">
        <f t="shared" si="1048"/>
        <v>3</v>
      </c>
      <c r="D1436" s="8">
        <f>B1436*B1429+C1436*C1429+D1429</f>
        <v>0.14666666666666273</v>
      </c>
      <c r="E1436" s="6">
        <f t="shared" si="1044"/>
        <v>1</v>
      </c>
      <c r="F1436" s="6">
        <f>$F$11</f>
        <v>1</v>
      </c>
      <c r="G1436" s="20" t="str">
        <f t="shared" si="1045"/>
        <v>A</v>
      </c>
      <c r="H1436" s="20" t="str">
        <f t="shared" si="1046"/>
        <v>A</v>
      </c>
      <c r="I1436" s="8">
        <f t="shared" si="1040"/>
        <v>0</v>
      </c>
      <c r="J1436" s="8">
        <f t="shared" si="1041"/>
        <v>0</v>
      </c>
      <c r="K1436" s="9">
        <f t="shared" si="1042"/>
        <v>0</v>
      </c>
    </row>
    <row r="1437" spans="1:11" x14ac:dyDescent="0.25">
      <c r="A1437" s="5">
        <v>5</v>
      </c>
      <c r="B1437" s="6">
        <f t="shared" ref="B1437:C1437" si="1049">B1422</f>
        <v>5</v>
      </c>
      <c r="C1437" s="6">
        <f t="shared" si="1049"/>
        <v>3</v>
      </c>
      <c r="D1437" s="8">
        <f>B1437*B1429+C1437*C1429+D1429</f>
        <v>0.54666666666666131</v>
      </c>
      <c r="E1437" s="6">
        <f t="shared" si="1044"/>
        <v>1</v>
      </c>
      <c r="F1437" s="6">
        <f>$F$12</f>
        <v>1</v>
      </c>
      <c r="G1437" s="20" t="str">
        <f t="shared" si="1045"/>
        <v>A</v>
      </c>
      <c r="H1437" s="20" t="str">
        <f t="shared" si="1046"/>
        <v>A</v>
      </c>
      <c r="I1437" s="8">
        <f t="shared" si="1040"/>
        <v>0</v>
      </c>
      <c r="J1437" s="8">
        <f t="shared" si="1041"/>
        <v>0</v>
      </c>
      <c r="K1437" s="9">
        <f t="shared" si="1042"/>
        <v>0</v>
      </c>
    </row>
    <row r="1438" spans="1:11" x14ac:dyDescent="0.25">
      <c r="A1438" s="5">
        <v>6</v>
      </c>
      <c r="B1438" s="6">
        <f t="shared" ref="B1438:C1438" si="1050">B1423</f>
        <v>3</v>
      </c>
      <c r="C1438" s="6">
        <f t="shared" si="1050"/>
        <v>2</v>
      </c>
      <c r="D1438" s="8">
        <f>B1438*B1429+C1438*C1429+D1429</f>
        <v>-1.333333333333675E-2</v>
      </c>
      <c r="E1438" s="6">
        <f t="shared" si="1044"/>
        <v>-1</v>
      </c>
      <c r="F1438" s="6">
        <f>$F$13</f>
        <v>-1</v>
      </c>
      <c r="G1438" s="20" t="str">
        <f t="shared" si="1045"/>
        <v>B</v>
      </c>
      <c r="H1438" s="20" t="str">
        <f t="shared" si="1046"/>
        <v>B</v>
      </c>
      <c r="I1438" s="8">
        <f t="shared" si="1040"/>
        <v>0</v>
      </c>
      <c r="J1438" s="8">
        <f t="shared" si="1041"/>
        <v>0</v>
      </c>
      <c r="K1438" s="9">
        <f t="shared" si="1042"/>
        <v>0</v>
      </c>
    </row>
    <row r="1439" spans="1:11" x14ac:dyDescent="0.25">
      <c r="A1439" s="5"/>
      <c r="B1439" s="6"/>
      <c r="C1439" s="6"/>
      <c r="D1439" s="6"/>
      <c r="E1439" s="6"/>
      <c r="F1439" s="6"/>
      <c r="G1439" s="20" t="s">
        <v>8</v>
      </c>
      <c r="H1439" s="20"/>
      <c r="I1439" s="8">
        <f>SUM(I1433:I1438)</f>
        <v>0</v>
      </c>
      <c r="J1439" s="8">
        <f>AVERAGE(J1433:J1438)</f>
        <v>0</v>
      </c>
      <c r="K1439" s="9">
        <f>AVERAGE(K1433:K1438)</f>
        <v>0</v>
      </c>
    </row>
    <row r="1440" spans="1:11" x14ac:dyDescent="0.25">
      <c r="A1440" s="5"/>
      <c r="B1440" s="6"/>
      <c r="C1440" s="6"/>
      <c r="D1440" s="6"/>
      <c r="E1440" s="6"/>
      <c r="F1440" s="6"/>
      <c r="G1440" s="20" t="s">
        <v>9</v>
      </c>
      <c r="H1440" s="20"/>
      <c r="I1440" s="8">
        <f>SUMSQ(I1433:I1438)</f>
        <v>0</v>
      </c>
      <c r="J1440" s="10"/>
      <c r="K1440" s="15"/>
    </row>
    <row r="1441" spans="1:11" x14ac:dyDescent="0.25">
      <c r="A1441" s="11"/>
      <c r="B1441" s="12"/>
      <c r="C1441" s="12"/>
      <c r="D1441" s="12"/>
      <c r="E1441" s="12"/>
      <c r="F1441" s="12"/>
      <c r="G1441" s="21"/>
      <c r="H1441" s="21"/>
      <c r="I1441" s="18"/>
      <c r="J1441" s="13"/>
      <c r="K1441" s="16"/>
    </row>
    <row r="1442" spans="1:11" x14ac:dyDescent="0.25">
      <c r="A1442" s="2" t="s">
        <v>13</v>
      </c>
      <c r="B1442" s="3">
        <f>B1427+1</f>
        <v>97</v>
      </c>
      <c r="C1442" s="3"/>
      <c r="D1442" s="3"/>
      <c r="E1442" s="3"/>
      <c r="F1442" s="3"/>
      <c r="G1442" s="19"/>
      <c r="H1442" s="19"/>
      <c r="I1442" s="17"/>
      <c r="J1442" s="3"/>
      <c r="K1442" s="4"/>
    </row>
    <row r="1443" spans="1:11" x14ac:dyDescent="0.25">
      <c r="A1443" s="5"/>
      <c r="B1443" s="6" t="s">
        <v>4</v>
      </c>
      <c r="C1443" s="6" t="s">
        <v>5</v>
      </c>
      <c r="D1443" s="6" t="s">
        <v>6</v>
      </c>
      <c r="E1443" s="6"/>
      <c r="F1443" s="6"/>
      <c r="G1443" s="20"/>
      <c r="H1443" s="20"/>
      <c r="I1443" s="8"/>
      <c r="J1443" s="6"/>
      <c r="K1443" s="7"/>
    </row>
    <row r="1444" spans="1:11" x14ac:dyDescent="0.25">
      <c r="A1444" s="5">
        <v>1</v>
      </c>
      <c r="B1444" s="14">
        <f>B1429+J1439</f>
        <v>0.13333333333333286</v>
      </c>
      <c r="C1444" s="14">
        <f>C1429+K1439</f>
        <v>0.29333333333333234</v>
      </c>
      <c r="D1444" s="6">
        <f>D1429</f>
        <v>-1</v>
      </c>
      <c r="E1444" s="6"/>
      <c r="F1444" s="6"/>
      <c r="G1444" s="20"/>
      <c r="H1444" s="20"/>
      <c r="I1444" s="8"/>
      <c r="J1444" s="6"/>
      <c r="K1444" s="7"/>
    </row>
    <row r="1445" spans="1:11" x14ac:dyDescent="0.25">
      <c r="A1445" s="5"/>
      <c r="B1445" s="6"/>
      <c r="C1445" s="6"/>
      <c r="D1445" s="6"/>
      <c r="E1445" s="6"/>
      <c r="F1445" s="6"/>
      <c r="G1445" s="20"/>
      <c r="H1445" s="20"/>
      <c r="I1445" s="8"/>
      <c r="J1445" s="6"/>
      <c r="K1445" s="7"/>
    </row>
    <row r="1446" spans="1:11" x14ac:dyDescent="0.25">
      <c r="A1446" s="5"/>
      <c r="B1446" s="6"/>
      <c r="C1446" s="6"/>
      <c r="D1446" s="6"/>
      <c r="E1446" s="6"/>
      <c r="F1446" s="6"/>
      <c r="G1446" s="20"/>
      <c r="H1446" s="20"/>
      <c r="I1446" s="8"/>
      <c r="J1446" s="6"/>
      <c r="K1446" s="7"/>
    </row>
    <row r="1447" spans="1:11" x14ac:dyDescent="0.25">
      <c r="A1447" s="5" t="s">
        <v>10</v>
      </c>
      <c r="B1447" s="6" t="s">
        <v>2</v>
      </c>
      <c r="C1447" s="6" t="s">
        <v>3</v>
      </c>
      <c r="D1447" s="6" t="s">
        <v>0</v>
      </c>
      <c r="E1447" s="6" t="s">
        <v>15</v>
      </c>
      <c r="F1447" s="6" t="s">
        <v>1</v>
      </c>
      <c r="G1447" s="20" t="s">
        <v>17</v>
      </c>
      <c r="H1447" s="20" t="s">
        <v>16</v>
      </c>
      <c r="I1447" s="8" t="s">
        <v>7</v>
      </c>
      <c r="J1447" s="6" t="s">
        <v>11</v>
      </c>
      <c r="K1447" s="7" t="s">
        <v>12</v>
      </c>
    </row>
    <row r="1448" spans="1:11" x14ac:dyDescent="0.25">
      <c r="A1448" s="5">
        <v>1</v>
      </c>
      <c r="B1448" s="6">
        <f>B1433</f>
        <v>4</v>
      </c>
      <c r="C1448" s="6">
        <f>C1433</f>
        <v>3</v>
      </c>
      <c r="D1448" s="8">
        <f>B1448*B1444+C1448*C1444+D1444</f>
        <v>0.41333333333332845</v>
      </c>
      <c r="E1448" s="6">
        <f>IF(D1448&gt;=0,$F$1,$E$1)</f>
        <v>1</v>
      </c>
      <c r="F1448" s="6">
        <f>$F$8</f>
        <v>1</v>
      </c>
      <c r="G1448" s="20" t="str">
        <f>IF(E1448&gt;0,"A","B")</f>
        <v>A</v>
      </c>
      <c r="H1448" s="20" t="str">
        <f>IF(F1448&gt;0,"A","B")</f>
        <v>A</v>
      </c>
      <c r="I1448" s="8">
        <f t="shared" ref="I1448:I1453" si="1051">F1448-E1448</f>
        <v>0</v>
      </c>
      <c r="J1448" s="8">
        <f t="shared" ref="J1448:J1453" si="1052">$C$1*I1448*B1448</f>
        <v>0</v>
      </c>
      <c r="K1448" s="9">
        <f t="shared" ref="K1448:K1453" si="1053">$C$1*I1448*C1448</f>
        <v>0</v>
      </c>
    </row>
    <row r="1449" spans="1:11" x14ac:dyDescent="0.25">
      <c r="A1449" s="5">
        <v>2</v>
      </c>
      <c r="B1449" s="6">
        <f t="shared" ref="B1449:C1449" si="1054">B1434</f>
        <v>1</v>
      </c>
      <c r="C1449" s="6">
        <f t="shared" si="1054"/>
        <v>1</v>
      </c>
      <c r="D1449" s="8">
        <f>B1449*B1444+C1449*C1444+D1444</f>
        <v>-0.5733333333333348</v>
      </c>
      <c r="E1449" s="6">
        <f t="shared" ref="E1449:E1453" si="1055">IF(D1449&gt;=0,$F$1,$E$1)</f>
        <v>-1</v>
      </c>
      <c r="F1449" s="6">
        <f>$F$9</f>
        <v>-1</v>
      </c>
      <c r="G1449" s="20" t="str">
        <f t="shared" ref="G1449:G1453" si="1056">IF(E1449&gt;0,"A","B")</f>
        <v>B</v>
      </c>
      <c r="H1449" s="20" t="str">
        <f t="shared" ref="H1449:H1453" si="1057">IF(F1449&gt;0,"A","B")</f>
        <v>B</v>
      </c>
      <c r="I1449" s="8">
        <f t="shared" si="1051"/>
        <v>0</v>
      </c>
      <c r="J1449" s="8">
        <f t="shared" si="1052"/>
        <v>0</v>
      </c>
      <c r="K1449" s="9">
        <f t="shared" si="1053"/>
        <v>0</v>
      </c>
    </row>
    <row r="1450" spans="1:11" x14ac:dyDescent="0.25">
      <c r="A1450" s="5">
        <v>3</v>
      </c>
      <c r="B1450" s="6">
        <f t="shared" ref="B1450:C1450" si="1058">B1435</f>
        <v>2</v>
      </c>
      <c r="C1450" s="6">
        <f t="shared" si="1058"/>
        <v>2</v>
      </c>
      <c r="D1450" s="8">
        <f>B1450*B1444+C1450*C1444+D1444</f>
        <v>-0.14666666666666961</v>
      </c>
      <c r="E1450" s="6">
        <f t="shared" si="1055"/>
        <v>-1</v>
      </c>
      <c r="F1450" s="6">
        <f>$F$10</f>
        <v>-1</v>
      </c>
      <c r="G1450" s="20" t="str">
        <f t="shared" si="1056"/>
        <v>B</v>
      </c>
      <c r="H1450" s="20" t="str">
        <f t="shared" si="1057"/>
        <v>B</v>
      </c>
      <c r="I1450" s="8">
        <f t="shared" si="1051"/>
        <v>0</v>
      </c>
      <c r="J1450" s="8">
        <f t="shared" si="1052"/>
        <v>0</v>
      </c>
      <c r="K1450" s="9">
        <f t="shared" si="1053"/>
        <v>0</v>
      </c>
    </row>
    <row r="1451" spans="1:11" x14ac:dyDescent="0.25">
      <c r="A1451" s="5">
        <v>4</v>
      </c>
      <c r="B1451" s="6">
        <f t="shared" ref="B1451:C1451" si="1059">B1436</f>
        <v>2</v>
      </c>
      <c r="C1451" s="6">
        <f t="shared" si="1059"/>
        <v>3</v>
      </c>
      <c r="D1451" s="8">
        <f>B1451*B1444+C1451*C1444+D1444</f>
        <v>0.14666666666666273</v>
      </c>
      <c r="E1451" s="6">
        <f t="shared" si="1055"/>
        <v>1</v>
      </c>
      <c r="F1451" s="6">
        <f>$F$11</f>
        <v>1</v>
      </c>
      <c r="G1451" s="20" t="str">
        <f t="shared" si="1056"/>
        <v>A</v>
      </c>
      <c r="H1451" s="20" t="str">
        <f t="shared" si="1057"/>
        <v>A</v>
      </c>
      <c r="I1451" s="8">
        <f t="shared" si="1051"/>
        <v>0</v>
      </c>
      <c r="J1451" s="8">
        <f t="shared" si="1052"/>
        <v>0</v>
      </c>
      <c r="K1451" s="9">
        <f t="shared" si="1053"/>
        <v>0</v>
      </c>
    </row>
    <row r="1452" spans="1:11" x14ac:dyDescent="0.25">
      <c r="A1452" s="5">
        <v>5</v>
      </c>
      <c r="B1452" s="6">
        <f t="shared" ref="B1452:C1452" si="1060">B1437</f>
        <v>5</v>
      </c>
      <c r="C1452" s="6">
        <f t="shared" si="1060"/>
        <v>3</v>
      </c>
      <c r="D1452" s="8">
        <f>B1452*B1444+C1452*C1444+D1444</f>
        <v>0.54666666666666131</v>
      </c>
      <c r="E1452" s="6">
        <f t="shared" si="1055"/>
        <v>1</v>
      </c>
      <c r="F1452" s="6">
        <f>$F$12</f>
        <v>1</v>
      </c>
      <c r="G1452" s="20" t="str">
        <f t="shared" si="1056"/>
        <v>A</v>
      </c>
      <c r="H1452" s="20" t="str">
        <f t="shared" si="1057"/>
        <v>A</v>
      </c>
      <c r="I1452" s="8">
        <f t="shared" si="1051"/>
        <v>0</v>
      </c>
      <c r="J1452" s="8">
        <f t="shared" si="1052"/>
        <v>0</v>
      </c>
      <c r="K1452" s="9">
        <f t="shared" si="1053"/>
        <v>0</v>
      </c>
    </row>
    <row r="1453" spans="1:11" x14ac:dyDescent="0.25">
      <c r="A1453" s="5">
        <v>6</v>
      </c>
      <c r="B1453" s="6">
        <f t="shared" ref="B1453:C1453" si="1061">B1438</f>
        <v>3</v>
      </c>
      <c r="C1453" s="6">
        <f t="shared" si="1061"/>
        <v>2</v>
      </c>
      <c r="D1453" s="8">
        <f>B1453*B1444+C1453*C1444+D1444</f>
        <v>-1.333333333333675E-2</v>
      </c>
      <c r="E1453" s="6">
        <f t="shared" si="1055"/>
        <v>-1</v>
      </c>
      <c r="F1453" s="6">
        <f>$F$13</f>
        <v>-1</v>
      </c>
      <c r="G1453" s="20" t="str">
        <f t="shared" si="1056"/>
        <v>B</v>
      </c>
      <c r="H1453" s="20" t="str">
        <f t="shared" si="1057"/>
        <v>B</v>
      </c>
      <c r="I1453" s="8">
        <f t="shared" si="1051"/>
        <v>0</v>
      </c>
      <c r="J1453" s="8">
        <f t="shared" si="1052"/>
        <v>0</v>
      </c>
      <c r="K1453" s="9">
        <f t="shared" si="1053"/>
        <v>0</v>
      </c>
    </row>
    <row r="1454" spans="1:11" x14ac:dyDescent="0.25">
      <c r="A1454" s="5"/>
      <c r="B1454" s="6"/>
      <c r="C1454" s="6"/>
      <c r="D1454" s="6"/>
      <c r="E1454" s="6"/>
      <c r="F1454" s="6"/>
      <c r="G1454" s="20" t="s">
        <v>8</v>
      </c>
      <c r="H1454" s="20"/>
      <c r="I1454" s="8">
        <f>SUM(I1448:I1453)</f>
        <v>0</v>
      </c>
      <c r="J1454" s="8">
        <f>AVERAGE(J1448:J1453)</f>
        <v>0</v>
      </c>
      <c r="K1454" s="9">
        <f>AVERAGE(K1448:K1453)</f>
        <v>0</v>
      </c>
    </row>
    <row r="1455" spans="1:11" x14ac:dyDescent="0.25">
      <c r="A1455" s="5"/>
      <c r="B1455" s="6"/>
      <c r="C1455" s="6"/>
      <c r="D1455" s="6"/>
      <c r="E1455" s="6"/>
      <c r="F1455" s="6"/>
      <c r="G1455" s="20" t="s">
        <v>9</v>
      </c>
      <c r="H1455" s="20"/>
      <c r="I1455" s="8">
        <f>SUMSQ(I1448:I1453)</f>
        <v>0</v>
      </c>
      <c r="J1455" s="10"/>
      <c r="K1455" s="15"/>
    </row>
    <row r="1456" spans="1:11" x14ac:dyDescent="0.25">
      <c r="A1456" s="11"/>
      <c r="B1456" s="12"/>
      <c r="C1456" s="12"/>
      <c r="D1456" s="12"/>
      <c r="E1456" s="12"/>
      <c r="F1456" s="12"/>
      <c r="G1456" s="21"/>
      <c r="H1456" s="21"/>
      <c r="I1456" s="18"/>
      <c r="J1456" s="13"/>
      <c r="K1456" s="16"/>
    </row>
    <row r="1457" spans="1:11" x14ac:dyDescent="0.25">
      <c r="A1457" s="2" t="s">
        <v>13</v>
      </c>
      <c r="B1457" s="3">
        <f>B1442+1</f>
        <v>98</v>
      </c>
      <c r="C1457" s="3"/>
      <c r="D1457" s="3"/>
      <c r="E1457" s="3"/>
      <c r="F1457" s="3"/>
      <c r="G1457" s="19"/>
      <c r="H1457" s="19"/>
      <c r="I1457" s="17"/>
      <c r="J1457" s="3"/>
      <c r="K1457" s="4"/>
    </row>
    <row r="1458" spans="1:11" x14ac:dyDescent="0.25">
      <c r="A1458" s="5"/>
      <c r="B1458" s="6" t="s">
        <v>4</v>
      </c>
      <c r="C1458" s="6" t="s">
        <v>5</v>
      </c>
      <c r="D1458" s="6" t="s">
        <v>6</v>
      </c>
      <c r="E1458" s="6"/>
      <c r="F1458" s="6"/>
      <c r="G1458" s="20"/>
      <c r="H1458" s="20"/>
      <c r="I1458" s="8"/>
      <c r="J1458" s="6"/>
      <c r="K1458" s="7"/>
    </row>
    <row r="1459" spans="1:11" x14ac:dyDescent="0.25">
      <c r="A1459" s="5">
        <v>1</v>
      </c>
      <c r="B1459" s="14">
        <f>B1444+J1454</f>
        <v>0.13333333333333286</v>
      </c>
      <c r="C1459" s="14">
        <f>C1444+K1454</f>
        <v>0.29333333333333234</v>
      </c>
      <c r="D1459" s="6">
        <f>D1444</f>
        <v>-1</v>
      </c>
      <c r="E1459" s="6"/>
      <c r="F1459" s="6"/>
      <c r="G1459" s="20"/>
      <c r="H1459" s="20"/>
      <c r="I1459" s="8"/>
      <c r="J1459" s="6"/>
      <c r="K1459" s="7"/>
    </row>
    <row r="1460" spans="1:11" x14ac:dyDescent="0.25">
      <c r="A1460" s="5"/>
      <c r="B1460" s="6"/>
      <c r="C1460" s="6"/>
      <c r="D1460" s="6"/>
      <c r="E1460" s="6"/>
      <c r="F1460" s="6"/>
      <c r="G1460" s="20"/>
      <c r="H1460" s="20"/>
      <c r="I1460" s="8"/>
      <c r="J1460" s="6"/>
      <c r="K1460" s="7"/>
    </row>
    <row r="1461" spans="1:11" x14ac:dyDescent="0.25">
      <c r="A1461" s="5"/>
      <c r="B1461" s="6"/>
      <c r="C1461" s="6"/>
      <c r="D1461" s="6"/>
      <c r="E1461" s="6"/>
      <c r="F1461" s="6"/>
      <c r="G1461" s="20"/>
      <c r="H1461" s="20"/>
      <c r="I1461" s="8"/>
      <c r="J1461" s="6"/>
      <c r="K1461" s="7"/>
    </row>
    <row r="1462" spans="1:11" x14ac:dyDescent="0.25">
      <c r="A1462" s="5" t="s">
        <v>10</v>
      </c>
      <c r="B1462" s="6" t="s">
        <v>2</v>
      </c>
      <c r="C1462" s="6" t="s">
        <v>3</v>
      </c>
      <c r="D1462" s="6" t="s">
        <v>0</v>
      </c>
      <c r="E1462" s="6" t="s">
        <v>15</v>
      </c>
      <c r="F1462" s="6" t="s">
        <v>1</v>
      </c>
      <c r="G1462" s="20" t="s">
        <v>17</v>
      </c>
      <c r="H1462" s="20" t="s">
        <v>16</v>
      </c>
      <c r="I1462" s="8" t="s">
        <v>7</v>
      </c>
      <c r="J1462" s="6" t="s">
        <v>11</v>
      </c>
      <c r="K1462" s="7" t="s">
        <v>12</v>
      </c>
    </row>
    <row r="1463" spans="1:11" x14ac:dyDescent="0.25">
      <c r="A1463" s="5">
        <v>1</v>
      </c>
      <c r="B1463" s="6">
        <f>B1448</f>
        <v>4</v>
      </c>
      <c r="C1463" s="6">
        <f>C1448</f>
        <v>3</v>
      </c>
      <c r="D1463" s="8">
        <f>B1463*B1459+C1463*C1459+D1459</f>
        <v>0.41333333333332845</v>
      </c>
      <c r="E1463" s="6">
        <f>IF(D1463&gt;=0,$F$1,$E$1)</f>
        <v>1</v>
      </c>
      <c r="F1463" s="6">
        <f>$F$8</f>
        <v>1</v>
      </c>
      <c r="G1463" s="20" t="str">
        <f>IF(E1463&gt;0,"A","B")</f>
        <v>A</v>
      </c>
      <c r="H1463" s="20" t="str">
        <f>IF(F1463&gt;0,"A","B")</f>
        <v>A</v>
      </c>
      <c r="I1463" s="8">
        <f t="shared" ref="I1463:I1468" si="1062">F1463-E1463</f>
        <v>0</v>
      </c>
      <c r="J1463" s="8">
        <f t="shared" ref="J1463:J1468" si="1063">$C$1*I1463*B1463</f>
        <v>0</v>
      </c>
      <c r="K1463" s="9">
        <f t="shared" ref="K1463:K1468" si="1064">$C$1*I1463*C1463</f>
        <v>0</v>
      </c>
    </row>
    <row r="1464" spans="1:11" x14ac:dyDescent="0.25">
      <c r="A1464" s="5">
        <v>2</v>
      </c>
      <c r="B1464" s="6">
        <f t="shared" ref="B1464:C1464" si="1065">B1449</f>
        <v>1</v>
      </c>
      <c r="C1464" s="6">
        <f t="shared" si="1065"/>
        <v>1</v>
      </c>
      <c r="D1464" s="8">
        <f>B1464*B1459+C1464*C1459+D1459</f>
        <v>-0.5733333333333348</v>
      </c>
      <c r="E1464" s="6">
        <f t="shared" ref="E1464:E1468" si="1066">IF(D1464&gt;=0,$F$1,$E$1)</f>
        <v>-1</v>
      </c>
      <c r="F1464" s="6">
        <f>$F$9</f>
        <v>-1</v>
      </c>
      <c r="G1464" s="20" t="str">
        <f t="shared" ref="G1464:G1468" si="1067">IF(E1464&gt;0,"A","B")</f>
        <v>B</v>
      </c>
      <c r="H1464" s="20" t="str">
        <f t="shared" ref="H1464:H1468" si="1068">IF(F1464&gt;0,"A","B")</f>
        <v>B</v>
      </c>
      <c r="I1464" s="8">
        <f t="shared" si="1062"/>
        <v>0</v>
      </c>
      <c r="J1464" s="8">
        <f t="shared" si="1063"/>
        <v>0</v>
      </c>
      <c r="K1464" s="9">
        <f t="shared" si="1064"/>
        <v>0</v>
      </c>
    </row>
    <row r="1465" spans="1:11" x14ac:dyDescent="0.25">
      <c r="A1465" s="5">
        <v>3</v>
      </c>
      <c r="B1465" s="6">
        <f t="shared" ref="B1465:C1465" si="1069">B1450</f>
        <v>2</v>
      </c>
      <c r="C1465" s="6">
        <f t="shared" si="1069"/>
        <v>2</v>
      </c>
      <c r="D1465" s="8">
        <f>B1465*B1459+C1465*C1459+D1459</f>
        <v>-0.14666666666666961</v>
      </c>
      <c r="E1465" s="6">
        <f t="shared" si="1066"/>
        <v>-1</v>
      </c>
      <c r="F1465" s="6">
        <f>$F$10</f>
        <v>-1</v>
      </c>
      <c r="G1465" s="20" t="str">
        <f t="shared" si="1067"/>
        <v>B</v>
      </c>
      <c r="H1465" s="20" t="str">
        <f t="shared" si="1068"/>
        <v>B</v>
      </c>
      <c r="I1465" s="8">
        <f t="shared" si="1062"/>
        <v>0</v>
      </c>
      <c r="J1465" s="8">
        <f t="shared" si="1063"/>
        <v>0</v>
      </c>
      <c r="K1465" s="9">
        <f t="shared" si="1064"/>
        <v>0</v>
      </c>
    </row>
    <row r="1466" spans="1:11" x14ac:dyDescent="0.25">
      <c r="A1466" s="5">
        <v>4</v>
      </c>
      <c r="B1466" s="6">
        <f t="shared" ref="B1466:C1466" si="1070">B1451</f>
        <v>2</v>
      </c>
      <c r="C1466" s="6">
        <f t="shared" si="1070"/>
        <v>3</v>
      </c>
      <c r="D1466" s="8">
        <f>B1466*B1459+C1466*C1459+D1459</f>
        <v>0.14666666666666273</v>
      </c>
      <c r="E1466" s="6">
        <f t="shared" si="1066"/>
        <v>1</v>
      </c>
      <c r="F1466" s="6">
        <f>$F$11</f>
        <v>1</v>
      </c>
      <c r="G1466" s="20" t="str">
        <f t="shared" si="1067"/>
        <v>A</v>
      </c>
      <c r="H1466" s="20" t="str">
        <f t="shared" si="1068"/>
        <v>A</v>
      </c>
      <c r="I1466" s="8">
        <f t="shared" si="1062"/>
        <v>0</v>
      </c>
      <c r="J1466" s="8">
        <f t="shared" si="1063"/>
        <v>0</v>
      </c>
      <c r="K1466" s="9">
        <f t="shared" si="1064"/>
        <v>0</v>
      </c>
    </row>
    <row r="1467" spans="1:11" x14ac:dyDescent="0.25">
      <c r="A1467" s="5">
        <v>5</v>
      </c>
      <c r="B1467" s="6">
        <f t="shared" ref="B1467:C1467" si="1071">B1452</f>
        <v>5</v>
      </c>
      <c r="C1467" s="6">
        <f t="shared" si="1071"/>
        <v>3</v>
      </c>
      <c r="D1467" s="8">
        <f>B1467*B1459+C1467*C1459+D1459</f>
        <v>0.54666666666666131</v>
      </c>
      <c r="E1467" s="6">
        <f t="shared" si="1066"/>
        <v>1</v>
      </c>
      <c r="F1467" s="6">
        <f>$F$12</f>
        <v>1</v>
      </c>
      <c r="G1467" s="20" t="str">
        <f t="shared" si="1067"/>
        <v>A</v>
      </c>
      <c r="H1467" s="20" t="str">
        <f t="shared" si="1068"/>
        <v>A</v>
      </c>
      <c r="I1467" s="8">
        <f t="shared" si="1062"/>
        <v>0</v>
      </c>
      <c r="J1467" s="8">
        <f t="shared" si="1063"/>
        <v>0</v>
      </c>
      <c r="K1467" s="9">
        <f t="shared" si="1064"/>
        <v>0</v>
      </c>
    </row>
    <row r="1468" spans="1:11" x14ac:dyDescent="0.25">
      <c r="A1468" s="5">
        <v>6</v>
      </c>
      <c r="B1468" s="6">
        <f t="shared" ref="B1468:C1468" si="1072">B1453</f>
        <v>3</v>
      </c>
      <c r="C1468" s="6">
        <f t="shared" si="1072"/>
        <v>2</v>
      </c>
      <c r="D1468" s="8">
        <f>B1468*B1459+C1468*C1459+D1459</f>
        <v>-1.333333333333675E-2</v>
      </c>
      <c r="E1468" s="6">
        <f t="shared" si="1066"/>
        <v>-1</v>
      </c>
      <c r="F1468" s="6">
        <f>$F$13</f>
        <v>-1</v>
      </c>
      <c r="G1468" s="20" t="str">
        <f t="shared" si="1067"/>
        <v>B</v>
      </c>
      <c r="H1468" s="20" t="str">
        <f t="shared" si="1068"/>
        <v>B</v>
      </c>
      <c r="I1468" s="8">
        <f t="shared" si="1062"/>
        <v>0</v>
      </c>
      <c r="J1468" s="8">
        <f t="shared" si="1063"/>
        <v>0</v>
      </c>
      <c r="K1468" s="9">
        <f t="shared" si="1064"/>
        <v>0</v>
      </c>
    </row>
    <row r="1469" spans="1:11" x14ac:dyDescent="0.25">
      <c r="A1469" s="5"/>
      <c r="B1469" s="6"/>
      <c r="C1469" s="6"/>
      <c r="D1469" s="6"/>
      <c r="E1469" s="6"/>
      <c r="F1469" s="6"/>
      <c r="G1469" s="20" t="s">
        <v>8</v>
      </c>
      <c r="H1469" s="20"/>
      <c r="I1469" s="8">
        <f>SUM(I1463:I1468)</f>
        <v>0</v>
      </c>
      <c r="J1469" s="8">
        <f>AVERAGE(J1463:J1468)</f>
        <v>0</v>
      </c>
      <c r="K1469" s="9">
        <f>AVERAGE(K1463:K1468)</f>
        <v>0</v>
      </c>
    </row>
    <row r="1470" spans="1:11" x14ac:dyDescent="0.25">
      <c r="A1470" s="5"/>
      <c r="B1470" s="6"/>
      <c r="C1470" s="6"/>
      <c r="D1470" s="6"/>
      <c r="E1470" s="6"/>
      <c r="F1470" s="6"/>
      <c r="G1470" s="20" t="s">
        <v>9</v>
      </c>
      <c r="H1470" s="20"/>
      <c r="I1470" s="8">
        <f>SUMSQ(I1463:I1468)</f>
        <v>0</v>
      </c>
      <c r="J1470" s="10"/>
      <c r="K1470" s="15"/>
    </row>
    <row r="1471" spans="1:11" x14ac:dyDescent="0.25">
      <c r="A1471" s="11"/>
      <c r="B1471" s="12"/>
      <c r="C1471" s="12"/>
      <c r="D1471" s="12"/>
      <c r="E1471" s="12"/>
      <c r="F1471" s="12"/>
      <c r="G1471" s="21"/>
      <c r="H1471" s="21"/>
      <c r="I1471" s="18"/>
      <c r="J1471" s="13"/>
      <c r="K1471" s="16"/>
    </row>
    <row r="1472" spans="1:11" x14ac:dyDescent="0.25">
      <c r="A1472" s="2" t="s">
        <v>13</v>
      </c>
      <c r="B1472" s="3">
        <f>B1457+1</f>
        <v>99</v>
      </c>
      <c r="C1472" s="3"/>
      <c r="D1472" s="3"/>
      <c r="E1472" s="3"/>
      <c r="F1472" s="3"/>
      <c r="G1472" s="19"/>
      <c r="H1472" s="19"/>
      <c r="I1472" s="17"/>
      <c r="J1472" s="3"/>
      <c r="K1472" s="4"/>
    </row>
    <row r="1473" spans="1:11" x14ac:dyDescent="0.25">
      <c r="A1473" s="5"/>
      <c r="B1473" s="6" t="s">
        <v>4</v>
      </c>
      <c r="C1473" s="6" t="s">
        <v>5</v>
      </c>
      <c r="D1473" s="6" t="s">
        <v>6</v>
      </c>
      <c r="E1473" s="6"/>
      <c r="F1473" s="6"/>
      <c r="G1473" s="20"/>
      <c r="H1473" s="20"/>
      <c r="I1473" s="8"/>
      <c r="J1473" s="6"/>
      <c r="K1473" s="7"/>
    </row>
    <row r="1474" spans="1:11" x14ac:dyDescent="0.25">
      <c r="A1474" s="5">
        <v>1</v>
      </c>
      <c r="B1474" s="14">
        <f>B1459+J1469</f>
        <v>0.13333333333333286</v>
      </c>
      <c r="C1474" s="14">
        <f>C1459+K1469</f>
        <v>0.29333333333333234</v>
      </c>
      <c r="D1474" s="6">
        <f>D1459</f>
        <v>-1</v>
      </c>
      <c r="E1474" s="6"/>
      <c r="F1474" s="6"/>
      <c r="G1474" s="20"/>
      <c r="H1474" s="20"/>
      <c r="I1474" s="8"/>
      <c r="J1474" s="6"/>
      <c r="K1474" s="7"/>
    </row>
    <row r="1475" spans="1:11" x14ac:dyDescent="0.25">
      <c r="A1475" s="5"/>
      <c r="B1475" s="6"/>
      <c r="C1475" s="6"/>
      <c r="D1475" s="6"/>
      <c r="E1475" s="6"/>
      <c r="F1475" s="6"/>
      <c r="G1475" s="20"/>
      <c r="H1475" s="20"/>
      <c r="I1475" s="8"/>
      <c r="J1475" s="6"/>
      <c r="K1475" s="7"/>
    </row>
    <row r="1476" spans="1:11" x14ac:dyDescent="0.25">
      <c r="A1476" s="5"/>
      <c r="B1476" s="6"/>
      <c r="C1476" s="6"/>
      <c r="D1476" s="6"/>
      <c r="E1476" s="6"/>
      <c r="F1476" s="6"/>
      <c r="G1476" s="20"/>
      <c r="H1476" s="20"/>
      <c r="I1476" s="8"/>
      <c r="J1476" s="6"/>
      <c r="K1476" s="7"/>
    </row>
    <row r="1477" spans="1:11" x14ac:dyDescent="0.25">
      <c r="A1477" s="5" t="s">
        <v>10</v>
      </c>
      <c r="B1477" s="6" t="s">
        <v>2</v>
      </c>
      <c r="C1477" s="6" t="s">
        <v>3</v>
      </c>
      <c r="D1477" s="6" t="s">
        <v>0</v>
      </c>
      <c r="E1477" s="6" t="s">
        <v>15</v>
      </c>
      <c r="F1477" s="6" t="s">
        <v>1</v>
      </c>
      <c r="G1477" s="20" t="s">
        <v>17</v>
      </c>
      <c r="H1477" s="20" t="s">
        <v>16</v>
      </c>
      <c r="I1477" s="8" t="s">
        <v>7</v>
      </c>
      <c r="J1477" s="6" t="s">
        <v>11</v>
      </c>
      <c r="K1477" s="7" t="s">
        <v>12</v>
      </c>
    </row>
    <row r="1478" spans="1:11" x14ac:dyDescent="0.25">
      <c r="A1478" s="5">
        <v>1</v>
      </c>
      <c r="B1478" s="6">
        <f>B1463</f>
        <v>4</v>
      </c>
      <c r="C1478" s="6">
        <f>C1463</f>
        <v>3</v>
      </c>
      <c r="D1478" s="8">
        <f>B1478*B1474+C1478*C1474+D1474</f>
        <v>0.41333333333332845</v>
      </c>
      <c r="E1478" s="6">
        <f>IF(D1478&gt;=0,$F$1,$E$1)</f>
        <v>1</v>
      </c>
      <c r="F1478" s="6">
        <f>$F$8</f>
        <v>1</v>
      </c>
      <c r="G1478" s="20" t="str">
        <f>IF(E1478&gt;0,"A","B")</f>
        <v>A</v>
      </c>
      <c r="H1478" s="20" t="str">
        <f>IF(F1478&gt;0,"A","B")</f>
        <v>A</v>
      </c>
      <c r="I1478" s="8">
        <f t="shared" ref="I1478:I1483" si="1073">F1478-E1478</f>
        <v>0</v>
      </c>
      <c r="J1478" s="8">
        <f t="shared" ref="J1478:J1483" si="1074">$C$1*I1478*B1478</f>
        <v>0</v>
      </c>
      <c r="K1478" s="9">
        <f t="shared" ref="K1478:K1483" si="1075">$C$1*I1478*C1478</f>
        <v>0</v>
      </c>
    </row>
    <row r="1479" spans="1:11" x14ac:dyDescent="0.25">
      <c r="A1479" s="5">
        <v>2</v>
      </c>
      <c r="B1479" s="6">
        <f t="shared" ref="B1479:C1479" si="1076">B1464</f>
        <v>1</v>
      </c>
      <c r="C1479" s="6">
        <f t="shared" si="1076"/>
        <v>1</v>
      </c>
      <c r="D1479" s="8">
        <f>B1479*B1474+C1479*C1474+D1474</f>
        <v>-0.5733333333333348</v>
      </c>
      <c r="E1479" s="6">
        <f t="shared" ref="E1479:E1483" si="1077">IF(D1479&gt;=0,$F$1,$E$1)</f>
        <v>-1</v>
      </c>
      <c r="F1479" s="6">
        <f>$F$9</f>
        <v>-1</v>
      </c>
      <c r="G1479" s="20" t="str">
        <f t="shared" ref="G1479:G1483" si="1078">IF(E1479&gt;0,"A","B")</f>
        <v>B</v>
      </c>
      <c r="H1479" s="20" t="str">
        <f t="shared" ref="H1479:H1483" si="1079">IF(F1479&gt;0,"A","B")</f>
        <v>B</v>
      </c>
      <c r="I1479" s="8">
        <f t="shared" si="1073"/>
        <v>0</v>
      </c>
      <c r="J1479" s="8">
        <f t="shared" si="1074"/>
        <v>0</v>
      </c>
      <c r="K1479" s="9">
        <f t="shared" si="1075"/>
        <v>0</v>
      </c>
    </row>
    <row r="1480" spans="1:11" x14ac:dyDescent="0.25">
      <c r="A1480" s="5">
        <v>3</v>
      </c>
      <c r="B1480" s="6">
        <f t="shared" ref="B1480:C1480" si="1080">B1465</f>
        <v>2</v>
      </c>
      <c r="C1480" s="6">
        <f t="shared" si="1080"/>
        <v>2</v>
      </c>
      <c r="D1480" s="8">
        <f>B1480*B1474+C1480*C1474+D1474</f>
        <v>-0.14666666666666961</v>
      </c>
      <c r="E1480" s="6">
        <f t="shared" si="1077"/>
        <v>-1</v>
      </c>
      <c r="F1480" s="6">
        <f>$F$10</f>
        <v>-1</v>
      </c>
      <c r="G1480" s="20" t="str">
        <f t="shared" si="1078"/>
        <v>B</v>
      </c>
      <c r="H1480" s="20" t="str">
        <f t="shared" si="1079"/>
        <v>B</v>
      </c>
      <c r="I1480" s="8">
        <f t="shared" si="1073"/>
        <v>0</v>
      </c>
      <c r="J1480" s="8">
        <f t="shared" si="1074"/>
        <v>0</v>
      </c>
      <c r="K1480" s="9">
        <f t="shared" si="1075"/>
        <v>0</v>
      </c>
    </row>
    <row r="1481" spans="1:11" x14ac:dyDescent="0.25">
      <c r="A1481" s="5">
        <v>4</v>
      </c>
      <c r="B1481" s="6">
        <f t="shared" ref="B1481:C1481" si="1081">B1466</f>
        <v>2</v>
      </c>
      <c r="C1481" s="6">
        <f t="shared" si="1081"/>
        <v>3</v>
      </c>
      <c r="D1481" s="8">
        <f>B1481*B1474+C1481*C1474+D1474</f>
        <v>0.14666666666666273</v>
      </c>
      <c r="E1481" s="6">
        <f t="shared" si="1077"/>
        <v>1</v>
      </c>
      <c r="F1481" s="6">
        <f>$F$11</f>
        <v>1</v>
      </c>
      <c r="G1481" s="20" t="str">
        <f t="shared" si="1078"/>
        <v>A</v>
      </c>
      <c r="H1481" s="20" t="str">
        <f t="shared" si="1079"/>
        <v>A</v>
      </c>
      <c r="I1481" s="8">
        <f t="shared" si="1073"/>
        <v>0</v>
      </c>
      <c r="J1481" s="8">
        <f t="shared" si="1074"/>
        <v>0</v>
      </c>
      <c r="K1481" s="9">
        <f t="shared" si="1075"/>
        <v>0</v>
      </c>
    </row>
    <row r="1482" spans="1:11" x14ac:dyDescent="0.25">
      <c r="A1482" s="5">
        <v>5</v>
      </c>
      <c r="B1482" s="6">
        <f t="shared" ref="B1482:C1482" si="1082">B1467</f>
        <v>5</v>
      </c>
      <c r="C1482" s="6">
        <f t="shared" si="1082"/>
        <v>3</v>
      </c>
      <c r="D1482" s="8">
        <f>B1482*B1474+C1482*C1474+D1474</f>
        <v>0.54666666666666131</v>
      </c>
      <c r="E1482" s="6">
        <f t="shared" si="1077"/>
        <v>1</v>
      </c>
      <c r="F1482" s="6">
        <f>$F$12</f>
        <v>1</v>
      </c>
      <c r="G1482" s="20" t="str">
        <f t="shared" si="1078"/>
        <v>A</v>
      </c>
      <c r="H1482" s="20" t="str">
        <f t="shared" si="1079"/>
        <v>A</v>
      </c>
      <c r="I1482" s="8">
        <f t="shared" si="1073"/>
        <v>0</v>
      </c>
      <c r="J1482" s="8">
        <f t="shared" si="1074"/>
        <v>0</v>
      </c>
      <c r="K1482" s="9">
        <f t="shared" si="1075"/>
        <v>0</v>
      </c>
    </row>
    <row r="1483" spans="1:11" x14ac:dyDescent="0.25">
      <c r="A1483" s="5">
        <v>6</v>
      </c>
      <c r="B1483" s="6">
        <f t="shared" ref="B1483:C1483" si="1083">B1468</f>
        <v>3</v>
      </c>
      <c r="C1483" s="6">
        <f t="shared" si="1083"/>
        <v>2</v>
      </c>
      <c r="D1483" s="8">
        <f>B1483*B1474+C1483*C1474+D1474</f>
        <v>-1.333333333333675E-2</v>
      </c>
      <c r="E1483" s="6">
        <f t="shared" si="1077"/>
        <v>-1</v>
      </c>
      <c r="F1483" s="6">
        <f>$F$13</f>
        <v>-1</v>
      </c>
      <c r="G1483" s="20" t="str">
        <f t="shared" si="1078"/>
        <v>B</v>
      </c>
      <c r="H1483" s="20" t="str">
        <f t="shared" si="1079"/>
        <v>B</v>
      </c>
      <c r="I1483" s="8">
        <f t="shared" si="1073"/>
        <v>0</v>
      </c>
      <c r="J1483" s="8">
        <f t="shared" si="1074"/>
        <v>0</v>
      </c>
      <c r="K1483" s="9">
        <f t="shared" si="1075"/>
        <v>0</v>
      </c>
    </row>
    <row r="1484" spans="1:11" x14ac:dyDescent="0.25">
      <c r="A1484" s="5"/>
      <c r="B1484" s="6"/>
      <c r="C1484" s="6"/>
      <c r="D1484" s="6"/>
      <c r="E1484" s="6"/>
      <c r="F1484" s="6"/>
      <c r="G1484" s="20" t="s">
        <v>8</v>
      </c>
      <c r="H1484" s="20"/>
      <c r="I1484" s="8">
        <f>SUM(I1478:I1483)</f>
        <v>0</v>
      </c>
      <c r="J1484" s="8">
        <f>AVERAGE(J1478:J1483)</f>
        <v>0</v>
      </c>
      <c r="K1484" s="9">
        <f>AVERAGE(K1478:K1483)</f>
        <v>0</v>
      </c>
    </row>
    <row r="1485" spans="1:11" x14ac:dyDescent="0.25">
      <c r="A1485" s="5"/>
      <c r="B1485" s="6"/>
      <c r="C1485" s="6"/>
      <c r="D1485" s="6"/>
      <c r="E1485" s="6"/>
      <c r="F1485" s="6"/>
      <c r="G1485" s="20" t="s">
        <v>9</v>
      </c>
      <c r="H1485" s="20"/>
      <c r="I1485" s="8">
        <f>SUMSQ(I1478:I1483)</f>
        <v>0</v>
      </c>
      <c r="J1485" s="10"/>
      <c r="K1485" s="15"/>
    </row>
    <row r="1486" spans="1:11" x14ac:dyDescent="0.25">
      <c r="A1486" s="11"/>
      <c r="B1486" s="12"/>
      <c r="C1486" s="12"/>
      <c r="D1486" s="12"/>
      <c r="E1486" s="12"/>
      <c r="F1486" s="12"/>
      <c r="G1486" s="21"/>
      <c r="H1486" s="21"/>
      <c r="I1486" s="18"/>
      <c r="J1486" s="13"/>
      <c r="K1486" s="16"/>
    </row>
    <row r="1487" spans="1:11" x14ac:dyDescent="0.25">
      <c r="A1487" s="2" t="s">
        <v>13</v>
      </c>
      <c r="B1487" s="3">
        <f>B1472+1</f>
        <v>100</v>
      </c>
      <c r="C1487" s="3"/>
      <c r="D1487" s="3"/>
      <c r="E1487" s="3"/>
      <c r="F1487" s="3"/>
      <c r="G1487" s="19"/>
      <c r="H1487" s="19"/>
      <c r="I1487" s="17"/>
      <c r="J1487" s="3"/>
      <c r="K1487" s="4"/>
    </row>
    <row r="1488" spans="1:11" x14ac:dyDescent="0.25">
      <c r="A1488" s="5"/>
      <c r="B1488" s="6" t="s">
        <v>4</v>
      </c>
      <c r="C1488" s="6" t="s">
        <v>5</v>
      </c>
      <c r="D1488" s="6" t="s">
        <v>6</v>
      </c>
      <c r="E1488" s="6"/>
      <c r="F1488" s="6"/>
      <c r="G1488" s="20"/>
      <c r="H1488" s="20"/>
      <c r="I1488" s="8"/>
      <c r="J1488" s="6"/>
      <c r="K1488" s="7"/>
    </row>
    <row r="1489" spans="1:11" x14ac:dyDescent="0.25">
      <c r="A1489" s="5">
        <v>1</v>
      </c>
      <c r="B1489" s="14">
        <f>B1474+J1484</f>
        <v>0.13333333333333286</v>
      </c>
      <c r="C1489" s="14">
        <f>C1474+K1484</f>
        <v>0.29333333333333234</v>
      </c>
      <c r="D1489" s="6">
        <f>D1474</f>
        <v>-1</v>
      </c>
      <c r="E1489" s="6"/>
      <c r="F1489" s="6"/>
      <c r="G1489" s="20"/>
      <c r="H1489" s="20"/>
      <c r="I1489" s="8"/>
      <c r="J1489" s="6"/>
      <c r="K1489" s="7"/>
    </row>
    <row r="1490" spans="1:11" x14ac:dyDescent="0.25">
      <c r="A1490" s="5"/>
      <c r="B1490" s="6"/>
      <c r="C1490" s="6"/>
      <c r="D1490" s="6"/>
      <c r="E1490" s="6"/>
      <c r="F1490" s="6"/>
      <c r="G1490" s="20"/>
      <c r="H1490" s="20"/>
      <c r="I1490" s="8"/>
      <c r="J1490" s="6"/>
      <c r="K1490" s="7"/>
    </row>
    <row r="1491" spans="1:11" x14ac:dyDescent="0.25">
      <c r="A1491" s="5"/>
      <c r="B1491" s="6"/>
      <c r="C1491" s="6"/>
      <c r="D1491" s="6"/>
      <c r="E1491" s="6"/>
      <c r="F1491" s="6"/>
      <c r="G1491" s="20"/>
      <c r="H1491" s="20"/>
      <c r="I1491" s="8"/>
      <c r="J1491" s="6"/>
      <c r="K1491" s="7"/>
    </row>
    <row r="1492" spans="1:11" x14ac:dyDescent="0.25">
      <c r="A1492" s="5" t="s">
        <v>10</v>
      </c>
      <c r="B1492" s="6" t="s">
        <v>2</v>
      </c>
      <c r="C1492" s="6" t="s">
        <v>3</v>
      </c>
      <c r="D1492" s="6" t="s">
        <v>0</v>
      </c>
      <c r="E1492" s="6" t="s">
        <v>15</v>
      </c>
      <c r="F1492" s="6" t="s">
        <v>1</v>
      </c>
      <c r="G1492" s="20" t="s">
        <v>17</v>
      </c>
      <c r="H1492" s="20" t="s">
        <v>16</v>
      </c>
      <c r="I1492" s="8" t="s">
        <v>7</v>
      </c>
      <c r="J1492" s="6" t="s">
        <v>11</v>
      </c>
      <c r="K1492" s="7" t="s">
        <v>12</v>
      </c>
    </row>
    <row r="1493" spans="1:11" x14ac:dyDescent="0.25">
      <c r="A1493" s="5">
        <v>1</v>
      </c>
      <c r="B1493" s="6">
        <f>B1478</f>
        <v>4</v>
      </c>
      <c r="C1493" s="6">
        <f>C1478</f>
        <v>3</v>
      </c>
      <c r="D1493" s="8">
        <f>B1493*B1489+C1493*C1489+D1489</f>
        <v>0.41333333333332845</v>
      </c>
      <c r="E1493" s="6">
        <f>IF(D1493&gt;=0,$F$1,$E$1)</f>
        <v>1</v>
      </c>
      <c r="F1493" s="6">
        <f>$F$8</f>
        <v>1</v>
      </c>
      <c r="G1493" s="20" t="str">
        <f>IF(E1493&gt;0,"A","B")</f>
        <v>A</v>
      </c>
      <c r="H1493" s="20" t="str">
        <f>IF(F1493&gt;0,"A","B")</f>
        <v>A</v>
      </c>
      <c r="I1493" s="8">
        <f t="shared" ref="I1493:I1498" si="1084">F1493-E1493</f>
        <v>0</v>
      </c>
      <c r="J1493" s="8">
        <f t="shared" ref="J1493:J1498" si="1085">$C$1*I1493*B1493</f>
        <v>0</v>
      </c>
      <c r="K1493" s="9">
        <f t="shared" ref="K1493:K1498" si="1086">$C$1*I1493*C1493</f>
        <v>0</v>
      </c>
    </row>
    <row r="1494" spans="1:11" x14ac:dyDescent="0.25">
      <c r="A1494" s="5">
        <v>2</v>
      </c>
      <c r="B1494" s="6">
        <f t="shared" ref="B1494:C1494" si="1087">B1479</f>
        <v>1</v>
      </c>
      <c r="C1494" s="6">
        <f t="shared" si="1087"/>
        <v>1</v>
      </c>
      <c r="D1494" s="8">
        <f>B1494*B1489+C1494*C1489+D1489</f>
        <v>-0.5733333333333348</v>
      </c>
      <c r="E1494" s="6">
        <f t="shared" ref="E1494:E1498" si="1088">IF(D1494&gt;=0,$F$1,$E$1)</f>
        <v>-1</v>
      </c>
      <c r="F1494" s="6">
        <f>$F$9</f>
        <v>-1</v>
      </c>
      <c r="G1494" s="20" t="str">
        <f t="shared" ref="G1494:G1498" si="1089">IF(E1494&gt;0,"A","B")</f>
        <v>B</v>
      </c>
      <c r="H1494" s="20" t="str">
        <f t="shared" ref="H1494:H1498" si="1090">IF(F1494&gt;0,"A","B")</f>
        <v>B</v>
      </c>
      <c r="I1494" s="8">
        <f t="shared" si="1084"/>
        <v>0</v>
      </c>
      <c r="J1494" s="8">
        <f t="shared" si="1085"/>
        <v>0</v>
      </c>
      <c r="K1494" s="9">
        <f t="shared" si="1086"/>
        <v>0</v>
      </c>
    </row>
    <row r="1495" spans="1:11" x14ac:dyDescent="0.25">
      <c r="A1495" s="5">
        <v>3</v>
      </c>
      <c r="B1495" s="6">
        <f t="shared" ref="B1495:C1495" si="1091">B1480</f>
        <v>2</v>
      </c>
      <c r="C1495" s="6">
        <f t="shared" si="1091"/>
        <v>2</v>
      </c>
      <c r="D1495" s="8">
        <f>B1495*B1489+C1495*C1489+D1489</f>
        <v>-0.14666666666666961</v>
      </c>
      <c r="E1495" s="6">
        <f t="shared" si="1088"/>
        <v>-1</v>
      </c>
      <c r="F1495" s="6">
        <f>$F$10</f>
        <v>-1</v>
      </c>
      <c r="G1495" s="20" t="str">
        <f t="shared" si="1089"/>
        <v>B</v>
      </c>
      <c r="H1495" s="20" t="str">
        <f t="shared" si="1090"/>
        <v>B</v>
      </c>
      <c r="I1495" s="8">
        <f t="shared" si="1084"/>
        <v>0</v>
      </c>
      <c r="J1495" s="8">
        <f t="shared" si="1085"/>
        <v>0</v>
      </c>
      <c r="K1495" s="9">
        <f t="shared" si="1086"/>
        <v>0</v>
      </c>
    </row>
    <row r="1496" spans="1:11" x14ac:dyDescent="0.25">
      <c r="A1496" s="5">
        <v>4</v>
      </c>
      <c r="B1496" s="6">
        <f t="shared" ref="B1496:C1496" si="1092">B1481</f>
        <v>2</v>
      </c>
      <c r="C1496" s="6">
        <f t="shared" si="1092"/>
        <v>3</v>
      </c>
      <c r="D1496" s="8">
        <f>B1496*B1489+C1496*C1489+D1489</f>
        <v>0.14666666666666273</v>
      </c>
      <c r="E1496" s="6">
        <f t="shared" si="1088"/>
        <v>1</v>
      </c>
      <c r="F1496" s="6">
        <f>$F$11</f>
        <v>1</v>
      </c>
      <c r="G1496" s="20" t="str">
        <f t="shared" si="1089"/>
        <v>A</v>
      </c>
      <c r="H1496" s="20" t="str">
        <f t="shared" si="1090"/>
        <v>A</v>
      </c>
      <c r="I1496" s="8">
        <f t="shared" si="1084"/>
        <v>0</v>
      </c>
      <c r="J1496" s="8">
        <f t="shared" si="1085"/>
        <v>0</v>
      </c>
      <c r="K1496" s="9">
        <f t="shared" si="1086"/>
        <v>0</v>
      </c>
    </row>
    <row r="1497" spans="1:11" x14ac:dyDescent="0.25">
      <c r="A1497" s="5">
        <v>5</v>
      </c>
      <c r="B1497" s="6">
        <f t="shared" ref="B1497:C1497" si="1093">B1482</f>
        <v>5</v>
      </c>
      <c r="C1497" s="6">
        <f t="shared" si="1093"/>
        <v>3</v>
      </c>
      <c r="D1497" s="8">
        <f>B1497*B1489+C1497*C1489+D1489</f>
        <v>0.54666666666666131</v>
      </c>
      <c r="E1497" s="6">
        <f t="shared" si="1088"/>
        <v>1</v>
      </c>
      <c r="F1497" s="6">
        <f>$F$12</f>
        <v>1</v>
      </c>
      <c r="G1497" s="20" t="str">
        <f t="shared" si="1089"/>
        <v>A</v>
      </c>
      <c r="H1497" s="20" t="str">
        <f t="shared" si="1090"/>
        <v>A</v>
      </c>
      <c r="I1497" s="8">
        <f t="shared" si="1084"/>
        <v>0</v>
      </c>
      <c r="J1497" s="8">
        <f t="shared" si="1085"/>
        <v>0</v>
      </c>
      <c r="K1497" s="9">
        <f t="shared" si="1086"/>
        <v>0</v>
      </c>
    </row>
    <row r="1498" spans="1:11" x14ac:dyDescent="0.25">
      <c r="A1498" s="5">
        <v>6</v>
      </c>
      <c r="B1498" s="6">
        <f t="shared" ref="B1498:C1498" si="1094">B1483</f>
        <v>3</v>
      </c>
      <c r="C1498" s="6">
        <f t="shared" si="1094"/>
        <v>2</v>
      </c>
      <c r="D1498" s="8">
        <f>B1498*B1489+C1498*C1489+D1489</f>
        <v>-1.333333333333675E-2</v>
      </c>
      <c r="E1498" s="6">
        <f t="shared" si="1088"/>
        <v>-1</v>
      </c>
      <c r="F1498" s="6">
        <f>$F$13</f>
        <v>-1</v>
      </c>
      <c r="G1498" s="20" t="str">
        <f t="shared" si="1089"/>
        <v>B</v>
      </c>
      <c r="H1498" s="20" t="str">
        <f t="shared" si="1090"/>
        <v>B</v>
      </c>
      <c r="I1498" s="8">
        <f t="shared" si="1084"/>
        <v>0</v>
      </c>
      <c r="J1498" s="8">
        <f t="shared" si="1085"/>
        <v>0</v>
      </c>
      <c r="K1498" s="9">
        <f t="shared" si="1086"/>
        <v>0</v>
      </c>
    </row>
    <row r="1499" spans="1:11" x14ac:dyDescent="0.25">
      <c r="A1499" s="5"/>
      <c r="B1499" s="6"/>
      <c r="C1499" s="6"/>
      <c r="D1499" s="6"/>
      <c r="E1499" s="6"/>
      <c r="F1499" s="6"/>
      <c r="G1499" s="20" t="s">
        <v>8</v>
      </c>
      <c r="H1499" s="20"/>
      <c r="I1499" s="8">
        <f>SUM(I1493:I1498)</f>
        <v>0</v>
      </c>
      <c r="J1499" s="8">
        <f>AVERAGE(J1493:J1498)</f>
        <v>0</v>
      </c>
      <c r="K1499" s="9">
        <f>AVERAGE(K1493:K1498)</f>
        <v>0</v>
      </c>
    </row>
    <row r="1500" spans="1:11" x14ac:dyDescent="0.25">
      <c r="A1500" s="5"/>
      <c r="B1500" s="6"/>
      <c r="C1500" s="6"/>
      <c r="D1500" s="6"/>
      <c r="E1500" s="6"/>
      <c r="F1500" s="6"/>
      <c r="G1500" s="20" t="s">
        <v>9</v>
      </c>
      <c r="H1500" s="20"/>
      <c r="I1500" s="8">
        <f>SUMSQ(I1493:I1498)</f>
        <v>0</v>
      </c>
      <c r="J1500" s="10"/>
      <c r="K1500" s="15"/>
    </row>
    <row r="1501" spans="1:11" x14ac:dyDescent="0.25">
      <c r="A1501" s="11"/>
      <c r="B1501" s="12"/>
      <c r="C1501" s="12"/>
      <c r="D1501" s="12"/>
      <c r="E1501" s="12"/>
      <c r="F1501" s="12"/>
      <c r="G1501" s="21"/>
      <c r="H1501" s="21"/>
      <c r="I1501" s="18"/>
      <c r="J1501" s="13"/>
      <c r="K1501" s="16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K14" sqref="K14"/>
    </sheetView>
  </sheetViews>
  <sheetFormatPr defaultRowHeight="15" x14ac:dyDescent="0.25"/>
  <sheetData>
    <row r="1" spans="1:11" x14ac:dyDescent="0.25">
      <c r="C1">
        <v>0.01</v>
      </c>
    </row>
    <row r="2" spans="1:11" x14ac:dyDescent="0.25">
      <c r="A2" s="2" t="s">
        <v>13</v>
      </c>
      <c r="B2" s="3">
        <v>1</v>
      </c>
      <c r="C2" s="3"/>
      <c r="D2" s="3"/>
      <c r="E2" s="3"/>
      <c r="F2" s="3"/>
      <c r="G2" s="19"/>
      <c r="H2" s="19"/>
      <c r="I2" s="17"/>
      <c r="J2" s="3"/>
      <c r="K2" s="4"/>
    </row>
    <row r="3" spans="1:11" x14ac:dyDescent="0.25">
      <c r="A3" s="5"/>
      <c r="B3" s="6" t="s">
        <v>4</v>
      </c>
      <c r="C3" s="6" t="s">
        <v>5</v>
      </c>
      <c r="D3" s="6" t="s">
        <v>6</v>
      </c>
      <c r="E3" s="6"/>
      <c r="F3" s="6"/>
      <c r="G3" s="20"/>
      <c r="H3" s="20"/>
      <c r="I3" s="8"/>
      <c r="J3" s="6"/>
      <c r="K3" s="7"/>
    </row>
    <row r="4" spans="1:11" x14ac:dyDescent="0.25">
      <c r="A4" s="5">
        <v>1</v>
      </c>
      <c r="B4" s="6">
        <v>0.45</v>
      </c>
      <c r="C4" s="6">
        <v>0.05</v>
      </c>
      <c r="D4" s="6">
        <v>-1</v>
      </c>
      <c r="E4" s="6"/>
      <c r="F4" s="6"/>
      <c r="G4" s="20"/>
      <c r="H4" s="20"/>
      <c r="I4" s="8"/>
      <c r="J4" s="6"/>
      <c r="K4" s="7"/>
    </row>
    <row r="5" spans="1:11" x14ac:dyDescent="0.25">
      <c r="A5" s="5"/>
      <c r="B5" s="6"/>
      <c r="C5" s="6"/>
      <c r="D5" s="6"/>
      <c r="E5" s="6"/>
      <c r="F5" s="6"/>
      <c r="G5" s="20"/>
      <c r="H5" s="20"/>
      <c r="I5" s="8"/>
      <c r="J5" s="6"/>
      <c r="K5" s="7"/>
    </row>
    <row r="6" spans="1:11" x14ac:dyDescent="0.25">
      <c r="A6" s="5"/>
      <c r="B6" s="6"/>
      <c r="C6" s="6"/>
      <c r="D6" s="6"/>
      <c r="E6" s="6"/>
      <c r="F6" s="6"/>
      <c r="G6" s="20"/>
      <c r="H6" s="20"/>
      <c r="I6" s="8"/>
      <c r="J6" s="6"/>
      <c r="K6" s="7"/>
    </row>
    <row r="7" spans="1:11" x14ac:dyDescent="0.25">
      <c r="A7" s="5" t="s">
        <v>10</v>
      </c>
      <c r="B7" s="6" t="s">
        <v>2</v>
      </c>
      <c r="C7" s="6" t="s">
        <v>3</v>
      </c>
      <c r="D7" s="6" t="s">
        <v>0</v>
      </c>
      <c r="E7" s="6" t="s">
        <v>15</v>
      </c>
      <c r="F7" s="6" t="s">
        <v>1</v>
      </c>
      <c r="G7" s="20" t="s">
        <v>17</v>
      </c>
      <c r="H7" s="20" t="s">
        <v>16</v>
      </c>
      <c r="I7" s="8" t="s">
        <v>7</v>
      </c>
      <c r="J7" s="6" t="s">
        <v>11</v>
      </c>
      <c r="K7" s="7" t="s">
        <v>12</v>
      </c>
    </row>
    <row r="8" spans="1:11" x14ac:dyDescent="0.25">
      <c r="A8" s="5">
        <v>1</v>
      </c>
      <c r="B8" s="6">
        <v>8</v>
      </c>
      <c r="C8" s="6">
        <v>3</v>
      </c>
      <c r="D8" s="8">
        <f>B8*B4+C8*C4+D4</f>
        <v>2.75</v>
      </c>
      <c r="E8" s="6">
        <f t="shared" ref="E8:E13" si="0">IF(D8&gt;=0,1,-1)</f>
        <v>1</v>
      </c>
      <c r="F8" s="6">
        <v>1</v>
      </c>
      <c r="G8" s="20" t="str">
        <f t="shared" ref="G8:H13" si="1">IF(E8=1,"A","B")</f>
        <v>A</v>
      </c>
      <c r="H8" s="20" t="str">
        <f t="shared" si="1"/>
        <v>A</v>
      </c>
      <c r="I8" s="8">
        <f t="shared" ref="I8:I13" si="2">F8-E8</f>
        <v>0</v>
      </c>
      <c r="J8" s="8">
        <f t="shared" ref="J8:J13" si="3">$C$1*I8*B8</f>
        <v>0</v>
      </c>
      <c r="K8" s="9">
        <f t="shared" ref="K8:K13" si="4">$C$1*I8*C8</f>
        <v>0</v>
      </c>
    </row>
    <row r="9" spans="1:11" x14ac:dyDescent="0.25">
      <c r="A9" s="5">
        <v>2</v>
      </c>
      <c r="B9" s="6">
        <v>1</v>
      </c>
      <c r="C9" s="6">
        <v>1</v>
      </c>
      <c r="D9" s="8">
        <f>B9*B4+C9*C4+D4</f>
        <v>-0.5</v>
      </c>
      <c r="E9" s="6">
        <f t="shared" si="0"/>
        <v>-1</v>
      </c>
      <c r="F9" s="6">
        <v>-1</v>
      </c>
      <c r="G9" s="20" t="str">
        <f t="shared" si="1"/>
        <v>B</v>
      </c>
      <c r="H9" s="20" t="str">
        <f t="shared" si="1"/>
        <v>B</v>
      </c>
      <c r="I9" s="8">
        <f t="shared" si="2"/>
        <v>0</v>
      </c>
      <c r="J9" s="8">
        <f t="shared" si="3"/>
        <v>0</v>
      </c>
      <c r="K9" s="9">
        <f t="shared" si="4"/>
        <v>0</v>
      </c>
    </row>
    <row r="10" spans="1:11" x14ac:dyDescent="0.25">
      <c r="A10" s="5">
        <v>3</v>
      </c>
      <c r="B10" s="6">
        <v>4</v>
      </c>
      <c r="C10" s="6">
        <v>2</v>
      </c>
      <c r="D10" s="8">
        <f>B10*B4+C10*C4+D4</f>
        <v>0.90000000000000013</v>
      </c>
      <c r="E10" s="6">
        <f t="shared" si="0"/>
        <v>1</v>
      </c>
      <c r="F10" s="6">
        <v>-1</v>
      </c>
      <c r="G10" s="20" t="str">
        <f t="shared" si="1"/>
        <v>A</v>
      </c>
      <c r="H10" s="20" t="str">
        <f t="shared" si="1"/>
        <v>B</v>
      </c>
      <c r="I10" s="8">
        <f t="shared" si="2"/>
        <v>-2</v>
      </c>
      <c r="J10" s="8">
        <f t="shared" si="3"/>
        <v>-0.08</v>
      </c>
      <c r="K10" s="9">
        <f t="shared" si="4"/>
        <v>-0.04</v>
      </c>
    </row>
    <row r="11" spans="1:11" x14ac:dyDescent="0.25">
      <c r="A11" s="5">
        <v>4</v>
      </c>
      <c r="B11" s="6">
        <v>2</v>
      </c>
      <c r="C11" s="6">
        <v>1</v>
      </c>
      <c r="D11" s="8">
        <f>B11*B4+C11*C4+D4</f>
        <v>-4.9999999999999933E-2</v>
      </c>
      <c r="E11" s="6">
        <f t="shared" si="0"/>
        <v>-1</v>
      </c>
      <c r="F11" s="6">
        <v>1</v>
      </c>
      <c r="G11" s="20" t="str">
        <f t="shared" si="1"/>
        <v>B</v>
      </c>
      <c r="H11" s="20" t="str">
        <f t="shared" si="1"/>
        <v>A</v>
      </c>
      <c r="I11" s="8">
        <f t="shared" si="2"/>
        <v>2</v>
      </c>
      <c r="J11" s="8">
        <f t="shared" si="3"/>
        <v>0.04</v>
      </c>
      <c r="K11" s="9">
        <f t="shared" si="4"/>
        <v>0.02</v>
      </c>
    </row>
    <row r="12" spans="1:11" x14ac:dyDescent="0.25">
      <c r="A12" s="5">
        <v>5</v>
      </c>
      <c r="B12" s="6">
        <v>5</v>
      </c>
      <c r="C12" s="6">
        <v>3</v>
      </c>
      <c r="D12" s="8">
        <f>B12*B4+C12*C4+D4</f>
        <v>1.4</v>
      </c>
      <c r="E12" s="6">
        <f t="shared" si="0"/>
        <v>1</v>
      </c>
      <c r="F12" s="6">
        <v>1</v>
      </c>
      <c r="G12" s="20" t="str">
        <f t="shared" si="1"/>
        <v>A</v>
      </c>
      <c r="H12" s="20" t="str">
        <f t="shared" si="1"/>
        <v>A</v>
      </c>
      <c r="I12" s="8">
        <f t="shared" si="2"/>
        <v>0</v>
      </c>
      <c r="J12" s="8">
        <f t="shared" si="3"/>
        <v>0</v>
      </c>
      <c r="K12" s="9">
        <f t="shared" si="4"/>
        <v>0</v>
      </c>
    </row>
    <row r="13" spans="1:11" x14ac:dyDescent="0.25">
      <c r="A13" s="5">
        <v>6</v>
      </c>
      <c r="B13" s="6">
        <v>3</v>
      </c>
      <c r="C13" s="6">
        <v>2</v>
      </c>
      <c r="D13" s="8">
        <f>B13*B4+C13*C4+D4</f>
        <v>0.45000000000000018</v>
      </c>
      <c r="E13" s="6">
        <f t="shared" si="0"/>
        <v>1</v>
      </c>
      <c r="F13" s="6">
        <v>-1</v>
      </c>
      <c r="G13" s="20" t="str">
        <f t="shared" si="1"/>
        <v>A</v>
      </c>
      <c r="H13" s="20" t="str">
        <f t="shared" si="1"/>
        <v>B</v>
      </c>
      <c r="I13" s="8">
        <f t="shared" si="2"/>
        <v>-2</v>
      </c>
      <c r="J13" s="8">
        <f t="shared" si="3"/>
        <v>-0.06</v>
      </c>
      <c r="K13" s="9">
        <f t="shared" si="4"/>
        <v>-0.04</v>
      </c>
    </row>
    <row r="14" spans="1:11" x14ac:dyDescent="0.25">
      <c r="A14" s="5"/>
      <c r="B14" s="6"/>
      <c r="C14" s="6"/>
      <c r="D14" s="6"/>
      <c r="E14" s="6"/>
      <c r="F14" s="6"/>
      <c r="G14" s="20" t="s">
        <v>8</v>
      </c>
      <c r="H14" s="20"/>
      <c r="I14" s="8">
        <f>SUM(I8:I13)</f>
        <v>-2</v>
      </c>
      <c r="J14" s="8">
        <f>AVERAGE(J8:J13)</f>
        <v>-1.6666666666666666E-2</v>
      </c>
      <c r="K14" s="9">
        <f>AVERAGE(K8:K13)</f>
        <v>-0.01</v>
      </c>
    </row>
    <row r="15" spans="1:11" x14ac:dyDescent="0.25">
      <c r="A15" s="5"/>
      <c r="B15" s="6"/>
      <c r="C15" s="6"/>
      <c r="D15" s="6"/>
      <c r="E15" s="6"/>
      <c r="F15" s="6"/>
      <c r="G15" s="20" t="s">
        <v>9</v>
      </c>
      <c r="H15" s="20"/>
      <c r="I15" s="8">
        <f>SUMSQ(I8:I13)</f>
        <v>12</v>
      </c>
      <c r="J15" s="10"/>
      <c r="K15" s="15"/>
    </row>
    <row r="16" spans="1:11" x14ac:dyDescent="0.25">
      <c r="A16" s="11"/>
      <c r="B16" s="12"/>
      <c r="C16" s="12"/>
      <c r="D16" s="12"/>
      <c r="E16" s="12"/>
      <c r="F16" s="12"/>
      <c r="G16" s="21"/>
      <c r="H16" s="21"/>
      <c r="I16" s="18"/>
      <c r="J16" s="13"/>
      <c r="K16" s="1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Perceptron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FRONTINO DE MEDEIROS</dc:creator>
  <cp:lastModifiedBy>gian brustol</cp:lastModifiedBy>
  <dcterms:created xsi:type="dcterms:W3CDTF">2013-04-24T21:22:57Z</dcterms:created>
  <dcterms:modified xsi:type="dcterms:W3CDTF">2020-10-05T21:31:44Z</dcterms:modified>
</cp:coreProperties>
</file>